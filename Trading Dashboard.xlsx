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imelines/timeline2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jinkya\Desktop\Data Analytics\Excel\"/>
    </mc:Choice>
  </mc:AlternateContent>
  <xr:revisionPtr revIDLastSave="0" documentId="13_ncr:1_{7C5AB0AF-D3B8-4706-B597-9A9BC981FD3E}" xr6:coauthVersionLast="47" xr6:coauthVersionMax="47" xr10:uidLastSave="{00000000-0000-0000-0000-000000000000}"/>
  <bookViews>
    <workbookView xWindow="-108" yWindow="-108" windowWidth="23256" windowHeight="12456" xr2:uid="{60E3ADCA-DDE3-488F-9EC9-7A6D92E873C9}"/>
  </bookViews>
  <sheets>
    <sheet name="Dashboard" sheetId="15" r:id="rId1"/>
    <sheet name="Sheet3" sheetId="7" r:id="rId2"/>
    <sheet name="Pivots" sheetId="9" r:id="rId3"/>
    <sheet name="Sheet7" sheetId="14" r:id="rId4"/>
    <sheet name="Sample data" sheetId="1" r:id="rId5"/>
  </sheets>
  <definedNames>
    <definedName name="_xlcn.WorksheetConnection_Sampledashboard.xlsxTable11" hidden="1">Table1[]</definedName>
    <definedName name="NativeTimeline_Date">#N/A</definedName>
  </definedNames>
  <calcPr calcId="191029"/>
  <pivotCaches>
    <pivotCache cacheId="0" r:id="rId6"/>
    <pivotCache cacheId="1" r:id="rId7"/>
    <pivotCache cacheId="2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FCE2AD5D-F65C-4FA6-A056-5C36A1767C68}">
      <x15:dataModel>
        <x15:modelTables>
          <x15:modelTable id="Table1" name="Table1" connection="WorksheetConnection_Sample dashboard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4" l="1"/>
  <c r="L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Q3" i="1"/>
  <c r="Q2" i="1"/>
  <c r="K5" i="1"/>
  <c r="K6" i="1"/>
  <c r="K7" i="1"/>
  <c r="K8" i="1"/>
  <c r="K9" i="1"/>
  <c r="K10" i="1"/>
  <c r="K11" i="1"/>
  <c r="K12" i="1"/>
  <c r="K13" i="1"/>
  <c r="K14" i="1"/>
  <c r="K15" i="1" s="1"/>
  <c r="K16" i="1"/>
  <c r="K17" i="1"/>
  <c r="K18" i="1"/>
  <c r="K19" i="1"/>
  <c r="K20" i="1"/>
  <c r="K21" i="1"/>
  <c r="K22" i="1"/>
  <c r="K23" i="1" s="1"/>
  <c r="K24" i="1" s="1"/>
  <c r="K25" i="1" s="1"/>
  <c r="K26" i="1"/>
  <c r="K27" i="1"/>
  <c r="K28" i="1"/>
  <c r="K29" i="1"/>
  <c r="K30" i="1"/>
  <c r="K31" i="1" s="1"/>
  <c r="K32" i="1" s="1"/>
  <c r="K33" i="1"/>
  <c r="K34" i="1"/>
  <c r="K35" i="1"/>
  <c r="K36" i="1"/>
  <c r="K37" i="1"/>
  <c r="K38" i="1"/>
  <c r="K39" i="1" s="1"/>
  <c r="K40" i="1" s="1"/>
  <c r="K41" i="1"/>
  <c r="K42" i="1"/>
  <c r="K43" i="1"/>
  <c r="K44" i="1"/>
  <c r="K45" i="1"/>
  <c r="K46" i="1"/>
  <c r="K47" i="1"/>
  <c r="K48" i="1" s="1"/>
  <c r="K49" i="1"/>
  <c r="K50" i="1"/>
  <c r="K51" i="1"/>
  <c r="K52" i="1"/>
  <c r="K53" i="1" s="1"/>
  <c r="K54" i="1"/>
  <c r="K55" i="1"/>
  <c r="K56" i="1"/>
  <c r="K57" i="1"/>
  <c r="K58" i="1"/>
  <c r="K59" i="1"/>
  <c r="K60" i="1"/>
  <c r="K61" i="1" s="1"/>
  <c r="K62" i="1" s="1"/>
  <c r="K63" i="1"/>
  <c r="K64" i="1" s="1"/>
  <c r="K65" i="1" s="1"/>
  <c r="K66" i="1"/>
  <c r="K67" i="1"/>
  <c r="K68" i="1"/>
  <c r="K69" i="1" s="1"/>
  <c r="K70" i="1"/>
  <c r="K71" i="1"/>
  <c r="K72" i="1"/>
  <c r="K73" i="1"/>
  <c r="K74" i="1"/>
  <c r="K75" i="1" s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 s="1"/>
  <c r="K92" i="1"/>
  <c r="K93" i="1"/>
  <c r="K94" i="1"/>
  <c r="K95" i="1"/>
  <c r="K96" i="1" s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 s="1"/>
  <c r="K113" i="1"/>
  <c r="K114" i="1"/>
  <c r="K115" i="1"/>
  <c r="K116" i="1"/>
  <c r="K117" i="1" s="1"/>
  <c r="K118" i="1"/>
  <c r="K119" i="1"/>
  <c r="K120" i="1" s="1"/>
  <c r="K121" i="1"/>
  <c r="K122" i="1"/>
  <c r="K123" i="1"/>
  <c r="K124" i="1"/>
  <c r="K125" i="1"/>
  <c r="K126" i="1"/>
  <c r="K127" i="1" s="1"/>
  <c r="K128" i="1"/>
  <c r="K129" i="1"/>
  <c r="K130" i="1"/>
  <c r="K131" i="1" s="1"/>
  <c r="K132" i="1"/>
  <c r="K133" i="1"/>
  <c r="K134" i="1"/>
  <c r="K135" i="1"/>
  <c r="K136" i="1"/>
  <c r="K137" i="1"/>
  <c r="K138" i="1"/>
  <c r="K139" i="1"/>
  <c r="K140" i="1"/>
  <c r="K141" i="1"/>
  <c r="K142" i="1"/>
  <c r="K143" i="1" s="1"/>
  <c r="K144" i="1"/>
  <c r="K145" i="1"/>
  <c r="K146" i="1"/>
  <c r="K147" i="1"/>
  <c r="K148" i="1"/>
  <c r="K149" i="1"/>
  <c r="K150" i="1"/>
  <c r="K151" i="1"/>
  <c r="K152" i="1" s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 s="1"/>
  <c r="K168" i="1"/>
  <c r="K169" i="1"/>
  <c r="K170" i="1"/>
  <c r="K171" i="1" s="1"/>
  <c r="K172" i="1"/>
  <c r="K173" i="1" s="1"/>
  <c r="K174" i="1" s="1"/>
  <c r="K175" i="1"/>
  <c r="K176" i="1"/>
  <c r="K177" i="1"/>
  <c r="K178" i="1"/>
  <c r="K179" i="1"/>
  <c r="K180" i="1"/>
  <c r="K181" i="1"/>
  <c r="K182" i="1"/>
  <c r="K183" i="1" s="1"/>
  <c r="K184" i="1"/>
  <c r="K185" i="1"/>
  <c r="K186" i="1"/>
  <c r="K187" i="1"/>
  <c r="K188" i="1"/>
  <c r="K189" i="1" s="1"/>
  <c r="K190" i="1" s="1"/>
  <c r="K191" i="1"/>
  <c r="K192" i="1" s="1"/>
  <c r="K193" i="1" s="1"/>
  <c r="K194" i="1"/>
  <c r="K195" i="1" s="1"/>
  <c r="K196" i="1"/>
  <c r="K197" i="1" s="1"/>
  <c r="K198" i="1"/>
  <c r="K199" i="1"/>
  <c r="K200" i="1"/>
  <c r="K201" i="1"/>
  <c r="K202" i="1"/>
  <c r="K203" i="1" s="1"/>
  <c r="K204" i="1"/>
  <c r="K205" i="1"/>
  <c r="K206" i="1"/>
  <c r="K207" i="1"/>
  <c r="K208" i="1" s="1"/>
  <c r="K209" i="1" s="1"/>
  <c r="K210" i="1"/>
  <c r="K211" i="1" s="1"/>
  <c r="K212" i="1"/>
  <c r="K213" i="1"/>
  <c r="K214" i="1"/>
  <c r="K215" i="1" s="1"/>
  <c r="K216" i="1"/>
  <c r="K217" i="1"/>
  <c r="K218" i="1"/>
  <c r="K219" i="1" s="1"/>
  <c r="K220" i="1"/>
  <c r="K221" i="1"/>
  <c r="K222" i="1"/>
  <c r="K223" i="1"/>
  <c r="K224" i="1" s="1"/>
  <c r="K225" i="1" s="1"/>
  <c r="K226" i="1"/>
  <c r="K227" i="1"/>
  <c r="K228" i="1"/>
  <c r="K229" i="1"/>
  <c r="K230" i="1"/>
  <c r="K231" i="1"/>
  <c r="K232" i="1"/>
  <c r="K233" i="1"/>
  <c r="K234" i="1"/>
  <c r="K235" i="1"/>
  <c r="K236" i="1" s="1"/>
  <c r="K237" i="1" s="1"/>
  <c r="K238" i="1"/>
  <c r="K239" i="1"/>
  <c r="K240" i="1"/>
  <c r="K241" i="1"/>
  <c r="K242" i="1"/>
  <c r="K243" i="1" s="1"/>
  <c r="K244" i="1"/>
  <c r="K245" i="1"/>
  <c r="K246" i="1"/>
  <c r="K247" i="1" s="1"/>
  <c r="K248" i="1"/>
  <c r="K249" i="1"/>
  <c r="K250" i="1"/>
  <c r="K251" i="1"/>
  <c r="K4" i="1"/>
  <c r="K3" i="1"/>
  <c r="K2" i="1"/>
  <c r="J9" i="1"/>
  <c r="J10" i="1" s="1"/>
  <c r="J11" i="1" s="1"/>
  <c r="J12" i="1" s="1"/>
  <c r="J13" i="1" s="1"/>
  <c r="J14" i="1" s="1"/>
  <c r="J15" i="1"/>
  <c r="J16" i="1"/>
  <c r="J17" i="1"/>
  <c r="J18" i="1"/>
  <c r="J19" i="1"/>
  <c r="J20" i="1"/>
  <c r="J21" i="1" s="1"/>
  <c r="J22" i="1" s="1"/>
  <c r="J23" i="1"/>
  <c r="J24" i="1"/>
  <c r="J25" i="1"/>
  <c r="J26" i="1"/>
  <c r="J27" i="1"/>
  <c r="J28" i="1"/>
  <c r="J29" i="1" s="1"/>
  <c r="J30" i="1" s="1"/>
  <c r="J31" i="1"/>
  <c r="J32" i="1"/>
  <c r="J33" i="1" s="1"/>
  <c r="J34" i="1" s="1"/>
  <c r="J35" i="1" s="1"/>
  <c r="J36" i="1" s="1"/>
  <c r="J37" i="1" s="1"/>
  <c r="J38" i="1"/>
  <c r="J39" i="1"/>
  <c r="J40" i="1"/>
  <c r="J41" i="1" s="1"/>
  <c r="J42" i="1" s="1"/>
  <c r="J43" i="1" s="1"/>
  <c r="J44" i="1" s="1"/>
  <c r="J45" i="1" s="1"/>
  <c r="J46" i="1" s="1"/>
  <c r="J47" i="1" s="1"/>
  <c r="J48" i="1"/>
  <c r="J49" i="1" s="1"/>
  <c r="J50" i="1" s="1"/>
  <c r="J51" i="1" s="1"/>
  <c r="J52" i="1" s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 s="1"/>
  <c r="J74" i="1" s="1"/>
  <c r="J75" i="1"/>
  <c r="J76" i="1"/>
  <c r="J77" i="1" s="1"/>
  <c r="J78" i="1" s="1"/>
  <c r="J79" i="1" s="1"/>
  <c r="J80" i="1" s="1"/>
  <c r="J81" i="1" s="1"/>
  <c r="J82" i="1" s="1"/>
  <c r="J83" i="1" s="1"/>
  <c r="J84" i="1" s="1"/>
  <c r="J85" i="1" s="1"/>
  <c r="J86" i="1"/>
  <c r="J87" i="1"/>
  <c r="J88" i="1"/>
  <c r="J89" i="1" s="1"/>
  <c r="J90" i="1"/>
  <c r="J91" i="1"/>
  <c r="J92" i="1"/>
  <c r="J93" i="1" s="1"/>
  <c r="J94" i="1" s="1"/>
  <c r="J95" i="1" s="1"/>
  <c r="J96" i="1"/>
  <c r="J97" i="1" s="1"/>
  <c r="J98" i="1"/>
  <c r="J99" i="1"/>
  <c r="J100" i="1"/>
  <c r="J101" i="1" s="1"/>
  <c r="J102" i="1"/>
  <c r="J103" i="1"/>
  <c r="J104" i="1"/>
  <c r="J105" i="1" s="1"/>
  <c r="J106" i="1" s="1"/>
  <c r="J107" i="1" s="1"/>
  <c r="J108" i="1" s="1"/>
  <c r="J109" i="1" s="1"/>
  <c r="J110" i="1" s="1"/>
  <c r="J111" i="1" s="1"/>
  <c r="J112" i="1"/>
  <c r="J113" i="1" s="1"/>
  <c r="J114" i="1" s="1"/>
  <c r="J115" i="1" s="1"/>
  <c r="J116" i="1" s="1"/>
  <c r="J117" i="1"/>
  <c r="J118" i="1"/>
  <c r="J119" i="1"/>
  <c r="J120" i="1"/>
  <c r="J121" i="1" s="1"/>
  <c r="J122" i="1" s="1"/>
  <c r="J123" i="1" s="1"/>
  <c r="J124" i="1" s="1"/>
  <c r="J125" i="1" s="1"/>
  <c r="J126" i="1" s="1"/>
  <c r="J127" i="1"/>
  <c r="J128" i="1"/>
  <c r="J129" i="1"/>
  <c r="J130" i="1"/>
  <c r="J131" i="1"/>
  <c r="J132" i="1"/>
  <c r="J133" i="1" s="1"/>
  <c r="J134" i="1" s="1"/>
  <c r="J135" i="1" s="1"/>
  <c r="J136" i="1" s="1"/>
  <c r="J137" i="1"/>
  <c r="J138" i="1"/>
  <c r="J139" i="1" s="1"/>
  <c r="J140" i="1" s="1"/>
  <c r="J141" i="1" s="1"/>
  <c r="J142" i="1"/>
  <c r="J143" i="1"/>
  <c r="J144" i="1"/>
  <c r="J145" i="1" s="1"/>
  <c r="J146" i="1" s="1"/>
  <c r="J147" i="1" s="1"/>
  <c r="J148" i="1" s="1"/>
  <c r="J149" i="1" s="1"/>
  <c r="J150" i="1" s="1"/>
  <c r="J151" i="1" s="1"/>
  <c r="J152" i="1"/>
  <c r="J153" i="1" s="1"/>
  <c r="J154" i="1"/>
  <c r="J155" i="1" s="1"/>
  <c r="J156" i="1" s="1"/>
  <c r="J157" i="1" s="1"/>
  <c r="J158" i="1" s="1"/>
  <c r="J159" i="1" s="1"/>
  <c r="J160" i="1" s="1"/>
  <c r="J161" i="1" s="1"/>
  <c r="J162" i="1"/>
  <c r="J163" i="1" s="1"/>
  <c r="J164" i="1" s="1"/>
  <c r="J165" i="1" s="1"/>
  <c r="J166" i="1" s="1"/>
  <c r="J167" i="1"/>
  <c r="J168" i="1"/>
  <c r="J169" i="1" s="1"/>
  <c r="J170" i="1" s="1"/>
  <c r="J171" i="1"/>
  <c r="J172" i="1"/>
  <c r="J173" i="1"/>
  <c r="J174" i="1"/>
  <c r="J175" i="1"/>
  <c r="J176" i="1"/>
  <c r="J177" i="1" s="1"/>
  <c r="J178" i="1" s="1"/>
  <c r="J179" i="1" s="1"/>
  <c r="J180" i="1" s="1"/>
  <c r="J181" i="1" s="1"/>
  <c r="J182" i="1" s="1"/>
  <c r="J183" i="1"/>
  <c r="J184" i="1"/>
  <c r="J185" i="1" s="1"/>
  <c r="J186" i="1" s="1"/>
  <c r="J187" i="1" s="1"/>
  <c r="J188" i="1" s="1"/>
  <c r="J189" i="1"/>
  <c r="J190" i="1"/>
  <c r="J191" i="1"/>
  <c r="J192" i="1"/>
  <c r="J193" i="1"/>
  <c r="J194" i="1" s="1"/>
  <c r="J195" i="1"/>
  <c r="J196" i="1"/>
  <c r="J197" i="1"/>
  <c r="J198" i="1"/>
  <c r="J199" i="1"/>
  <c r="J200" i="1"/>
  <c r="J201" i="1" s="1"/>
  <c r="J202" i="1"/>
  <c r="J203" i="1"/>
  <c r="J204" i="1"/>
  <c r="J205" i="1" s="1"/>
  <c r="J206" i="1" s="1"/>
  <c r="J207" i="1" s="1"/>
  <c r="J208" i="1"/>
  <c r="J209" i="1"/>
  <c r="J210" i="1" s="1"/>
  <c r="J211" i="1"/>
  <c r="J212" i="1"/>
  <c r="J213" i="1" s="1"/>
  <c r="J214" i="1" s="1"/>
  <c r="J215" i="1"/>
  <c r="J216" i="1"/>
  <c r="J217" i="1" s="1"/>
  <c r="J218" i="1" s="1"/>
  <c r="J219" i="1"/>
  <c r="J220" i="1"/>
  <c r="J221" i="1" s="1"/>
  <c r="J222" i="1"/>
  <c r="J223" i="1"/>
  <c r="J224" i="1"/>
  <c r="J225" i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/>
  <c r="J237" i="1"/>
  <c r="J238" i="1"/>
  <c r="J239" i="1"/>
  <c r="J240" i="1"/>
  <c r="J241" i="1" s="1"/>
  <c r="J242" i="1" s="1"/>
  <c r="J243" i="1"/>
  <c r="J244" i="1"/>
  <c r="J245" i="1" s="1"/>
  <c r="J246" i="1" s="1"/>
  <c r="J247" i="1"/>
  <c r="J248" i="1"/>
  <c r="J249" i="1"/>
  <c r="J250" i="1"/>
  <c r="J251" i="1" s="1"/>
  <c r="J4" i="1"/>
  <c r="J5" i="1" s="1"/>
  <c r="J6" i="1"/>
  <c r="J7" i="1"/>
  <c r="J8" i="1"/>
  <c r="J3" i="1"/>
  <c r="J2" i="1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5" i="7"/>
  <c r="E4" i="7"/>
  <c r="C17" i="7"/>
  <c r="C18" i="7"/>
  <c r="C19" i="7" s="1"/>
  <c r="C20" i="7" s="1"/>
  <c r="C21" i="7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6" i="7"/>
  <c r="C7" i="7"/>
  <c r="C8" i="7" s="1"/>
  <c r="C9" i="7" s="1"/>
  <c r="C10" i="7" s="1"/>
  <c r="C11" i="7" s="1"/>
  <c r="C12" i="7" s="1"/>
  <c r="C13" i="7" s="1"/>
  <c r="C14" i="7" s="1"/>
  <c r="C15" i="7" s="1"/>
  <c r="C16" i="7" s="1"/>
  <c r="C5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4" i="7"/>
  <c r="H5" i="14"/>
  <c r="H6" i="14" s="1"/>
  <c r="H7" i="14" s="1"/>
  <c r="H8" i="14" s="1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H46" i="14" s="1"/>
  <c r="H47" i="14" s="1"/>
  <c r="H48" i="14" s="1"/>
  <c r="H49" i="14" s="1"/>
  <c r="H50" i="14" s="1"/>
  <c r="H51" i="14" s="1"/>
  <c r="H52" i="14" s="1"/>
  <c r="H53" i="14" s="1"/>
  <c r="H54" i="14" s="1"/>
  <c r="G5" i="14"/>
  <c r="G6" i="14" s="1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F12" i="14"/>
  <c r="F13" i="14"/>
  <c r="F14" i="14"/>
  <c r="F15" i="14"/>
  <c r="F16" i="14"/>
  <c r="F17" i="14"/>
  <c r="F18" i="14"/>
  <c r="F19" i="14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6" i="14"/>
  <c r="F7" i="14"/>
  <c r="F8" i="14"/>
  <c r="F9" i="14"/>
  <c r="F10" i="14"/>
  <c r="F11" i="14"/>
  <c r="F5" i="14"/>
  <c r="G4" i="14"/>
  <c r="H4" i="14"/>
  <c r="F4" i="14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O6" i="1"/>
  <c r="O3" i="1"/>
  <c r="O4" i="1"/>
  <c r="O7" i="1" s="1"/>
  <c r="O5" i="1"/>
  <c r="N6" i="1"/>
  <c r="N5" i="1"/>
  <c r="N4" i="1"/>
  <c r="N7" i="1" s="1"/>
  <c r="N3" i="1"/>
  <c r="O2" i="1"/>
  <c r="N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G250" i="1"/>
  <c r="G249" i="1"/>
  <c r="G248" i="1"/>
  <c r="G247" i="1"/>
  <c r="G242" i="1"/>
  <c r="G240" i="1"/>
  <c r="G239" i="1"/>
  <c r="G234" i="1"/>
  <c r="G228" i="1"/>
  <c r="G226" i="1"/>
  <c r="G220" i="1"/>
  <c r="G218" i="1"/>
  <c r="G217" i="1"/>
  <c r="G210" i="1"/>
  <c r="G209" i="1"/>
  <c r="G204" i="1"/>
  <c r="G202" i="1"/>
  <c r="G200" i="1"/>
  <c r="G196" i="1"/>
  <c r="G194" i="1"/>
  <c r="G191" i="1"/>
  <c r="G186" i="1"/>
  <c r="G185" i="1"/>
  <c r="G184" i="1"/>
  <c r="G183" i="1"/>
  <c r="G178" i="1"/>
  <c r="G175" i="1"/>
  <c r="G170" i="1"/>
  <c r="G167" i="1"/>
  <c r="G164" i="1"/>
  <c r="G162" i="1"/>
  <c r="G156" i="1"/>
  <c r="G154" i="1"/>
  <c r="G152" i="1"/>
  <c r="G151" i="1"/>
  <c r="G146" i="1"/>
  <c r="G145" i="1"/>
  <c r="G138" i="1"/>
  <c r="G136" i="1"/>
  <c r="G130" i="1"/>
  <c r="G129" i="1"/>
  <c r="G127" i="1"/>
  <c r="G122" i="1"/>
  <c r="G120" i="1"/>
  <c r="G119" i="1"/>
  <c r="G114" i="1"/>
  <c r="G113" i="1"/>
  <c r="G112" i="1"/>
  <c r="G111" i="1"/>
  <c r="G106" i="1"/>
  <c r="G100" i="1"/>
  <c r="G98" i="1"/>
  <c r="G92" i="1"/>
  <c r="G90" i="1"/>
  <c r="G82" i="1"/>
  <c r="G81" i="1"/>
  <c r="G80" i="1"/>
  <c r="G79" i="1"/>
  <c r="G74" i="1"/>
  <c r="G72" i="1"/>
  <c r="G68" i="1"/>
  <c r="G66" i="1"/>
  <c r="G63" i="1"/>
  <c r="G58" i="1"/>
  <c r="G50" i="1"/>
  <c r="G45" i="1"/>
  <c r="G42" i="1"/>
  <c r="G41" i="1"/>
  <c r="G40" i="1"/>
  <c r="G39" i="1"/>
  <c r="G36" i="1"/>
  <c r="G34" i="1"/>
  <c r="G31" i="1"/>
  <c r="G29" i="1"/>
  <c r="G26" i="1"/>
  <c r="G24" i="1"/>
  <c r="G21" i="1"/>
  <c r="G20" i="1"/>
  <c r="G18" i="1"/>
  <c r="G17" i="1"/>
  <c r="G13" i="1"/>
  <c r="G10" i="1"/>
  <c r="G8" i="1"/>
  <c r="G2" i="1"/>
  <c r="G3" i="1"/>
  <c r="G11" i="1"/>
  <c r="G19" i="1"/>
  <c r="G27" i="1"/>
  <c r="G32" i="1"/>
  <c r="G33" i="1"/>
  <c r="G35" i="1"/>
  <c r="G43" i="1"/>
  <c r="G49" i="1"/>
  <c r="G51" i="1"/>
  <c r="G57" i="1"/>
  <c r="G59" i="1"/>
  <c r="G67" i="1"/>
  <c r="G75" i="1"/>
  <c r="G83" i="1"/>
  <c r="G87" i="1"/>
  <c r="G88" i="1"/>
  <c r="G91" i="1"/>
  <c r="G97" i="1"/>
  <c r="G99" i="1"/>
  <c r="G104" i="1"/>
  <c r="G105" i="1"/>
  <c r="G107" i="1"/>
  <c r="G108" i="1"/>
  <c r="G115" i="1"/>
  <c r="G123" i="1"/>
  <c r="G131" i="1"/>
  <c r="G139" i="1"/>
  <c r="G142" i="1"/>
  <c r="G147" i="1"/>
  <c r="G153" i="1"/>
  <c r="G155" i="1"/>
  <c r="G159" i="1"/>
  <c r="G160" i="1"/>
  <c r="G161" i="1"/>
  <c r="G163" i="1"/>
  <c r="G171" i="1"/>
  <c r="G176" i="1"/>
  <c r="G177" i="1"/>
  <c r="G179" i="1"/>
  <c r="G187" i="1"/>
  <c r="G193" i="1"/>
  <c r="G195" i="1"/>
  <c r="G203" i="1"/>
  <c r="G208" i="1"/>
  <c r="G211" i="1"/>
  <c r="G215" i="1"/>
  <c r="G216" i="1"/>
  <c r="G219" i="1"/>
  <c r="G227" i="1"/>
  <c r="G232" i="1"/>
  <c r="G233" i="1"/>
  <c r="G235" i="1"/>
  <c r="G241" i="1"/>
  <c r="G243" i="1"/>
  <c r="G251" i="1"/>
  <c r="C4" i="7"/>
  <c r="E35" i="9"/>
  <c r="N8" i="1" l="1"/>
  <c r="O8" i="1"/>
  <c r="E36" i="9"/>
  <c r="G53" i="1"/>
  <c r="G126" i="1"/>
  <c r="G125" i="1"/>
  <c r="G70" i="1"/>
  <c r="G225" i="1"/>
  <c r="G169" i="1"/>
  <c r="G144" i="1"/>
  <c r="G16" i="1"/>
  <c r="G71" i="1"/>
  <c r="G23" i="1"/>
  <c r="G48" i="1"/>
  <c r="G198" i="1"/>
  <c r="G121" i="1"/>
  <c r="G224" i="1"/>
  <c r="G143" i="1"/>
  <c r="G89" i="1"/>
  <c r="G65" i="1"/>
  <c r="G15" i="1"/>
  <c r="H2" i="1"/>
  <c r="H3" i="1" s="1"/>
  <c r="G245" i="1"/>
  <c r="G190" i="1"/>
  <c r="G207" i="1"/>
  <c r="G135" i="1"/>
  <c r="G223" i="1"/>
  <c r="G134" i="1"/>
  <c r="G62" i="1"/>
  <c r="G172" i="1"/>
  <c r="G189" i="1"/>
  <c r="G117" i="1"/>
  <c r="G14" i="1"/>
  <c r="G206" i="1"/>
  <c r="G44" i="1"/>
  <c r="G236" i="1"/>
  <c r="G168" i="1"/>
  <c r="G96" i="1"/>
  <c r="G61" i="1"/>
  <c r="G25" i="1"/>
  <c r="G7" i="1"/>
  <c r="G199" i="1"/>
  <c r="G181" i="1"/>
  <c r="G95" i="1"/>
  <c r="G78" i="1"/>
  <c r="G6" i="1"/>
  <c r="G188" i="1"/>
  <c r="G124" i="1"/>
  <c r="G205" i="1"/>
  <c r="G150" i="1"/>
  <c r="G86" i="1"/>
  <c r="G4" i="1"/>
  <c r="G222" i="1"/>
  <c r="G158" i="1"/>
  <c r="G103" i="1"/>
  <c r="G76" i="1"/>
  <c r="G30" i="1"/>
  <c r="G12" i="1"/>
  <c r="G221" i="1"/>
  <c r="G148" i="1"/>
  <c r="G93" i="1"/>
  <c r="G47" i="1"/>
  <c r="G180" i="1"/>
  <c r="G116" i="1"/>
  <c r="G133" i="1"/>
  <c r="G69" i="1"/>
  <c r="G214" i="1"/>
  <c r="G132" i="1"/>
  <c r="G77" i="1"/>
  <c r="G231" i="1"/>
  <c r="G213" i="1"/>
  <c r="G140" i="1"/>
  <c r="G85" i="1"/>
  <c r="G212" i="1"/>
  <c r="G166" i="1"/>
  <c r="G102" i="1"/>
  <c r="G56" i="1"/>
  <c r="G38" i="1"/>
  <c r="G238" i="1"/>
  <c r="G229" i="1"/>
  <c r="G201" i="1"/>
  <c r="G192" i="1"/>
  <c r="G174" i="1"/>
  <c r="G165" i="1"/>
  <c r="G137" i="1"/>
  <c r="G128" i="1"/>
  <c r="G110" i="1"/>
  <c r="G101" i="1"/>
  <c r="G73" i="1"/>
  <c r="G64" i="1"/>
  <c r="G55" i="1"/>
  <c r="G46" i="1"/>
  <c r="G37" i="1"/>
  <c r="G28" i="1"/>
  <c r="G9" i="1"/>
  <c r="G244" i="1"/>
  <c r="G52" i="1"/>
  <c r="G197" i="1"/>
  <c r="G60" i="1"/>
  <c r="G5" i="1"/>
  <c r="G141" i="1"/>
  <c r="G22" i="1"/>
  <c r="G149" i="1"/>
  <c r="G94" i="1"/>
  <c r="G230" i="1"/>
  <c r="G157" i="1"/>
  <c r="G84" i="1"/>
  <c r="G246" i="1"/>
  <c r="G237" i="1"/>
  <c r="G182" i="1"/>
  <c r="G173" i="1"/>
  <c r="G118" i="1"/>
  <c r="G109" i="1"/>
  <c r="G54" i="1"/>
  <c r="H4" i="1" l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8B85EA-384F-4433-ACB1-E8B9D7165A3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0F61AED-1DC2-4D3F-A421-DB98D8496041}" name="WorksheetConnection_Sample dashboard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ampledashboard.xlsxTable11"/>
        </x15:connection>
      </ext>
    </extLst>
  </connection>
</connections>
</file>

<file path=xl/sharedStrings.xml><?xml version="1.0" encoding="utf-8"?>
<sst xmlns="http://schemas.openxmlformats.org/spreadsheetml/2006/main" count="308" uniqueCount="41">
  <si>
    <t>Sr No</t>
  </si>
  <si>
    <t>Date</t>
  </si>
  <si>
    <t>Day</t>
  </si>
  <si>
    <t>Algo</t>
  </si>
  <si>
    <t>Manual</t>
  </si>
  <si>
    <t>Total Gross P&amp;L</t>
  </si>
  <si>
    <t>Cumulative P&amp;L</t>
  </si>
  <si>
    <t>Wed</t>
  </si>
  <si>
    <t>Thu</t>
  </si>
  <si>
    <t>Fri</t>
  </si>
  <si>
    <t>Mon</t>
  </si>
  <si>
    <t>Tue</t>
  </si>
  <si>
    <t>Row Labels</t>
  </si>
  <si>
    <t>Grand Total</t>
  </si>
  <si>
    <t>Sum of Total Gross P&amp;L</t>
  </si>
  <si>
    <t>Sum of Cumulative P&amp;L</t>
  </si>
  <si>
    <t>Month</t>
  </si>
  <si>
    <t>Jan</t>
  </si>
  <si>
    <t>Feb</t>
  </si>
  <si>
    <t>Mar</t>
  </si>
  <si>
    <t>ROI</t>
  </si>
  <si>
    <t>XIRR</t>
  </si>
  <si>
    <t>Sum of Algo</t>
  </si>
  <si>
    <t>Sum of Manual</t>
  </si>
  <si>
    <t>Week</t>
  </si>
  <si>
    <t>Total</t>
  </si>
  <si>
    <t>Max DD</t>
  </si>
  <si>
    <t>Ex</t>
  </si>
  <si>
    <t>loss st</t>
  </si>
  <si>
    <t>win st</t>
  </si>
  <si>
    <t>wn s</t>
  </si>
  <si>
    <t>los 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</si>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</sst>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9" fontId="0" fillId="0" borderId="0" xfId="43" applyFont="1"/>
    <xf numFmtId="164" fontId="0" fillId="0" borderId="0" xfId="42" applyNumberFormat="1" applyFont="1"/>
    <xf numFmtId="9" fontId="0" fillId="0" borderId="0" xfId="0" applyNumberFormat="1"/>
    <xf numFmtId="3" fontId="0" fillId="0" borderId="0" xfId="42" applyNumberFormat="1" applyFont="1"/>
    <xf numFmtId="2" fontId="0" fillId="0" borderId="0" xfId="0" applyNumberFormat="1"/>
    <xf numFmtId="0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/>
        <sz val="11"/>
        <color theme="1"/>
      </font>
    </dxf>
    <dxf>
      <font>
        <b/>
        <i val="0"/>
        <color theme="7"/>
      </font>
      <fill>
        <patternFill patternType="solid">
          <fgColor rgb="FFFFFF00"/>
          <bgColor theme="2" tint="-0.2499465926084170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ont>
        <color rgb="FFFFFF00"/>
      </font>
      <fill>
        <patternFill patternType="solid">
          <fgColor theme="0"/>
          <bgColor theme="1" tint="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ill>
        <patternFill patternType="solid">
          <fgColor auto="1"/>
          <bgColor theme="1" tint="0.2499465926084170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Timeline Style 1" pivot="0" table="0" count="8" xr9:uid="{8E584DF7-210C-42EC-A38F-B152D318DDAD}">
      <tableStyleElement type="wholeTable" dxfId="12"/>
      <tableStyleElement type="headerRow" dxfId="11"/>
    </tableStyle>
    <tableStyle name="Timeline Style 2" pivot="0" table="0" count="8" xr9:uid="{21A28F3F-F364-406C-A930-582F623BAFB1}">
      <tableStyleElement type="wholeTable" dxfId="10"/>
      <tableStyleElement type="headerRow" dxfId="9"/>
    </tableStyle>
    <tableStyle name="Timeline Style 3" pivot="0" table="0" count="8" xr9:uid="{0CD64C44-29C0-4477-8E4C-A010FECBA641}">
      <tableStyleElement type="wholeTable" dxfId="8"/>
      <tableStyleElement type="headerRow" dxfId="7"/>
    </tableStyle>
    <tableStyle name="Timeline Style 4" pivot="0" table="0" count="8" xr9:uid="{D8A5078C-8EED-45D0-B66F-3FC832E63310}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24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23"/>
            <x15:timelineStyleElement type="timeLevel" dxfId="22"/>
            <x15:timelineStyleElement type="periodLabel1" dxfId="21"/>
            <x15:timelineStyleElement type="periodLabel2" dxfId="20"/>
            <x15:timelineStyleElement type="selectedTimeBlock" dxfId="19"/>
            <x15:timelineStyleElement type="unselectedTimeBlock" dxfId="18"/>
          </x15:timelineStyleElements>
        </x15:timelineStyle>
        <x15:timelineStyle name="Timeline Style 2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Timeline Style 3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4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Sheet7!$F$3</c:f>
              <c:strCache>
                <c:ptCount val="1"/>
                <c:pt idx="0">
                  <c:v>Algo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Sheet7!$F$4:$F$54</c:f>
              <c:numCache>
                <c:formatCode>#,##0</c:formatCode>
                <c:ptCount val="51"/>
                <c:pt idx="0">
                  <c:v>33007</c:v>
                </c:pt>
                <c:pt idx="1">
                  <c:v>100315</c:v>
                </c:pt>
                <c:pt idx="2">
                  <c:v>153404</c:v>
                </c:pt>
                <c:pt idx="3">
                  <c:v>134484</c:v>
                </c:pt>
                <c:pt idx="4">
                  <c:v>190376</c:v>
                </c:pt>
                <c:pt idx="5">
                  <c:v>175140</c:v>
                </c:pt>
                <c:pt idx="6">
                  <c:v>185846</c:v>
                </c:pt>
                <c:pt idx="7">
                  <c:v>214408</c:v>
                </c:pt>
                <c:pt idx="8">
                  <c:v>197765</c:v>
                </c:pt>
                <c:pt idx="9">
                  <c:v>216886</c:v>
                </c:pt>
                <c:pt idx="10">
                  <c:v>262723</c:v>
                </c:pt>
                <c:pt idx="11">
                  <c:v>321484</c:v>
                </c:pt>
                <c:pt idx="12">
                  <c:v>324911</c:v>
                </c:pt>
                <c:pt idx="13">
                  <c:v>355881</c:v>
                </c:pt>
                <c:pt idx="14">
                  <c:v>402606</c:v>
                </c:pt>
                <c:pt idx="15">
                  <c:v>427222</c:v>
                </c:pt>
                <c:pt idx="16">
                  <c:v>467110</c:v>
                </c:pt>
                <c:pt idx="17">
                  <c:v>542222</c:v>
                </c:pt>
                <c:pt idx="18">
                  <c:v>570811</c:v>
                </c:pt>
                <c:pt idx="19">
                  <c:v>595754</c:v>
                </c:pt>
                <c:pt idx="20">
                  <c:v>588813</c:v>
                </c:pt>
                <c:pt idx="21">
                  <c:v>705577</c:v>
                </c:pt>
                <c:pt idx="22">
                  <c:v>711423</c:v>
                </c:pt>
                <c:pt idx="23">
                  <c:v>767656</c:v>
                </c:pt>
                <c:pt idx="24">
                  <c:v>794198</c:v>
                </c:pt>
                <c:pt idx="25">
                  <c:v>831368</c:v>
                </c:pt>
                <c:pt idx="26">
                  <c:v>867766</c:v>
                </c:pt>
                <c:pt idx="27">
                  <c:v>870122</c:v>
                </c:pt>
                <c:pt idx="28">
                  <c:v>922085</c:v>
                </c:pt>
                <c:pt idx="29">
                  <c:v>1016678</c:v>
                </c:pt>
                <c:pt idx="30">
                  <c:v>1063662</c:v>
                </c:pt>
                <c:pt idx="31">
                  <c:v>1083384</c:v>
                </c:pt>
                <c:pt idx="32">
                  <c:v>1168729</c:v>
                </c:pt>
                <c:pt idx="33">
                  <c:v>1210260</c:v>
                </c:pt>
                <c:pt idx="34">
                  <c:v>1224290</c:v>
                </c:pt>
                <c:pt idx="35">
                  <c:v>1261739</c:v>
                </c:pt>
                <c:pt idx="36">
                  <c:v>1315339</c:v>
                </c:pt>
                <c:pt idx="37">
                  <c:v>1372654</c:v>
                </c:pt>
                <c:pt idx="38">
                  <c:v>1341684</c:v>
                </c:pt>
                <c:pt idx="39">
                  <c:v>1327698</c:v>
                </c:pt>
                <c:pt idx="40">
                  <c:v>1351699</c:v>
                </c:pt>
                <c:pt idx="41">
                  <c:v>1356036</c:v>
                </c:pt>
                <c:pt idx="42">
                  <c:v>1431081</c:v>
                </c:pt>
                <c:pt idx="43">
                  <c:v>1490674</c:v>
                </c:pt>
                <c:pt idx="44">
                  <c:v>1493523</c:v>
                </c:pt>
                <c:pt idx="45">
                  <c:v>1505407</c:v>
                </c:pt>
                <c:pt idx="46">
                  <c:v>1562547</c:v>
                </c:pt>
                <c:pt idx="47">
                  <c:v>1537990</c:v>
                </c:pt>
                <c:pt idx="48">
                  <c:v>1554013</c:v>
                </c:pt>
                <c:pt idx="49">
                  <c:v>1586097</c:v>
                </c:pt>
                <c:pt idx="50">
                  <c:v>1561603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0-4034-9467-32F09476986A}"/>
            </c:ext>
          </c:extLst>
        </c:ser>
        <c:ser>
          <c:idx val="1"/>
          <c:order val="1"/>
          <c:tx>
            <c:strRef>
              <c:f>Sheet7!$G$3</c:f>
              <c:strCache>
                <c:ptCount val="1"/>
                <c:pt idx="0">
                  <c:v>Manual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Sheet7!$G$4:$G$54</c:f>
              <c:numCache>
                <c:formatCode>#,##0</c:formatCode>
                <c:ptCount val="51"/>
                <c:pt idx="0">
                  <c:v>44711</c:v>
                </c:pt>
                <c:pt idx="1">
                  <c:v>117314</c:v>
                </c:pt>
                <c:pt idx="2">
                  <c:v>169825</c:v>
                </c:pt>
                <c:pt idx="3">
                  <c:v>172484</c:v>
                </c:pt>
                <c:pt idx="4">
                  <c:v>179693</c:v>
                </c:pt>
                <c:pt idx="5">
                  <c:v>243922</c:v>
                </c:pt>
                <c:pt idx="6">
                  <c:v>288565</c:v>
                </c:pt>
                <c:pt idx="7">
                  <c:v>353538</c:v>
                </c:pt>
                <c:pt idx="8">
                  <c:v>371964</c:v>
                </c:pt>
                <c:pt idx="9">
                  <c:v>469606</c:v>
                </c:pt>
                <c:pt idx="10">
                  <c:v>507387</c:v>
                </c:pt>
                <c:pt idx="11">
                  <c:v>527964</c:v>
                </c:pt>
                <c:pt idx="12">
                  <c:v>555637</c:v>
                </c:pt>
                <c:pt idx="13">
                  <c:v>569624</c:v>
                </c:pt>
                <c:pt idx="14">
                  <c:v>670972</c:v>
                </c:pt>
                <c:pt idx="15">
                  <c:v>696365</c:v>
                </c:pt>
                <c:pt idx="16">
                  <c:v>776363</c:v>
                </c:pt>
                <c:pt idx="17">
                  <c:v>815165</c:v>
                </c:pt>
                <c:pt idx="18">
                  <c:v>823557</c:v>
                </c:pt>
                <c:pt idx="19">
                  <c:v>836380</c:v>
                </c:pt>
                <c:pt idx="20">
                  <c:v>935872</c:v>
                </c:pt>
                <c:pt idx="21">
                  <c:v>977183</c:v>
                </c:pt>
                <c:pt idx="22">
                  <c:v>1070240</c:v>
                </c:pt>
                <c:pt idx="23">
                  <c:v>1115443</c:v>
                </c:pt>
                <c:pt idx="24">
                  <c:v>1173562</c:v>
                </c:pt>
                <c:pt idx="25">
                  <c:v>1163127</c:v>
                </c:pt>
                <c:pt idx="26">
                  <c:v>1268918</c:v>
                </c:pt>
                <c:pt idx="27">
                  <c:v>1291747</c:v>
                </c:pt>
                <c:pt idx="28">
                  <c:v>1357111</c:v>
                </c:pt>
                <c:pt idx="29">
                  <c:v>1433016</c:v>
                </c:pt>
                <c:pt idx="30">
                  <c:v>1476380</c:v>
                </c:pt>
                <c:pt idx="31">
                  <c:v>1592271</c:v>
                </c:pt>
                <c:pt idx="32">
                  <c:v>1608112</c:v>
                </c:pt>
                <c:pt idx="33">
                  <c:v>1666434</c:v>
                </c:pt>
                <c:pt idx="34">
                  <c:v>1651834</c:v>
                </c:pt>
                <c:pt idx="35">
                  <c:v>1731061</c:v>
                </c:pt>
                <c:pt idx="36">
                  <c:v>1770650</c:v>
                </c:pt>
                <c:pt idx="37">
                  <c:v>1807582</c:v>
                </c:pt>
                <c:pt idx="38">
                  <c:v>1809868</c:v>
                </c:pt>
                <c:pt idx="39">
                  <c:v>1846363</c:v>
                </c:pt>
                <c:pt idx="40">
                  <c:v>1873086</c:v>
                </c:pt>
                <c:pt idx="41">
                  <c:v>1867335</c:v>
                </c:pt>
                <c:pt idx="42">
                  <c:v>1876546</c:v>
                </c:pt>
                <c:pt idx="43">
                  <c:v>1875251</c:v>
                </c:pt>
                <c:pt idx="44">
                  <c:v>1897604</c:v>
                </c:pt>
                <c:pt idx="45">
                  <c:v>1964917</c:v>
                </c:pt>
                <c:pt idx="46">
                  <c:v>2034661</c:v>
                </c:pt>
                <c:pt idx="47">
                  <c:v>2093415</c:v>
                </c:pt>
                <c:pt idx="48">
                  <c:v>2160494</c:v>
                </c:pt>
                <c:pt idx="49">
                  <c:v>2195666</c:v>
                </c:pt>
                <c:pt idx="50">
                  <c:v>2235152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0-4034-9467-32F09476986A}"/>
            </c:ext>
          </c:extLst>
        </c:ser>
        <c:ser>
          <c:idx val="2"/>
          <c:order val="2"/>
          <c:tx>
            <c:strRef>
              <c:f>Sheet7!$H$3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Sheet7!$H$4:$H$54</c:f>
              <c:numCache>
                <c:formatCode>#,##0</c:formatCode>
                <c:ptCount val="51"/>
                <c:pt idx="0">
                  <c:v>77718</c:v>
                </c:pt>
                <c:pt idx="1">
                  <c:v>217629</c:v>
                </c:pt>
                <c:pt idx="2">
                  <c:v>323229</c:v>
                </c:pt>
                <c:pt idx="3">
                  <c:v>306968</c:v>
                </c:pt>
                <c:pt idx="4">
                  <c:v>370069</c:v>
                </c:pt>
                <c:pt idx="5">
                  <c:v>419062</c:v>
                </c:pt>
                <c:pt idx="6">
                  <c:v>474411</c:v>
                </c:pt>
                <c:pt idx="7">
                  <c:v>567946</c:v>
                </c:pt>
                <c:pt idx="8">
                  <c:v>569729</c:v>
                </c:pt>
                <c:pt idx="9">
                  <c:v>686492</c:v>
                </c:pt>
                <c:pt idx="10">
                  <c:v>770110</c:v>
                </c:pt>
                <c:pt idx="11">
                  <c:v>849448</c:v>
                </c:pt>
                <c:pt idx="12">
                  <c:v>880548</c:v>
                </c:pt>
                <c:pt idx="13">
                  <c:v>925505</c:v>
                </c:pt>
                <c:pt idx="14">
                  <c:v>1073578</c:v>
                </c:pt>
                <c:pt idx="15">
                  <c:v>1123587</c:v>
                </c:pt>
                <c:pt idx="16">
                  <c:v>1243473</c:v>
                </c:pt>
                <c:pt idx="17">
                  <c:v>1357387</c:v>
                </c:pt>
                <c:pt idx="18">
                  <c:v>1394368</c:v>
                </c:pt>
                <c:pt idx="19">
                  <c:v>1432134</c:v>
                </c:pt>
                <c:pt idx="20">
                  <c:v>1524685</c:v>
                </c:pt>
                <c:pt idx="21">
                  <c:v>1682760</c:v>
                </c:pt>
                <c:pt idx="22">
                  <c:v>1781663</c:v>
                </c:pt>
                <c:pt idx="23">
                  <c:v>1883099</c:v>
                </c:pt>
                <c:pt idx="24">
                  <c:v>1967760</c:v>
                </c:pt>
                <c:pt idx="25">
                  <c:v>1994495</c:v>
                </c:pt>
                <c:pt idx="26">
                  <c:v>2136684</c:v>
                </c:pt>
                <c:pt idx="27">
                  <c:v>2161869</c:v>
                </c:pt>
                <c:pt idx="28">
                  <c:v>2279196</c:v>
                </c:pt>
                <c:pt idx="29">
                  <c:v>2449694</c:v>
                </c:pt>
                <c:pt idx="30">
                  <c:v>2540042</c:v>
                </c:pt>
                <c:pt idx="31">
                  <c:v>2675655</c:v>
                </c:pt>
                <c:pt idx="32">
                  <c:v>2776841</c:v>
                </c:pt>
                <c:pt idx="33">
                  <c:v>2876694</c:v>
                </c:pt>
                <c:pt idx="34">
                  <c:v>2876124</c:v>
                </c:pt>
                <c:pt idx="35">
                  <c:v>2992800</c:v>
                </c:pt>
                <c:pt idx="36">
                  <c:v>3085989</c:v>
                </c:pt>
                <c:pt idx="37">
                  <c:v>3180236</c:v>
                </c:pt>
                <c:pt idx="38">
                  <c:v>3151552</c:v>
                </c:pt>
                <c:pt idx="39">
                  <c:v>3174061</c:v>
                </c:pt>
                <c:pt idx="40">
                  <c:v>3224785</c:v>
                </c:pt>
                <c:pt idx="41">
                  <c:v>3223371</c:v>
                </c:pt>
                <c:pt idx="42">
                  <c:v>3307627</c:v>
                </c:pt>
                <c:pt idx="43">
                  <c:v>3365925</c:v>
                </c:pt>
                <c:pt idx="44">
                  <c:v>3391127</c:v>
                </c:pt>
                <c:pt idx="45">
                  <c:v>3470324</c:v>
                </c:pt>
                <c:pt idx="46">
                  <c:v>3597208</c:v>
                </c:pt>
                <c:pt idx="47">
                  <c:v>3631405</c:v>
                </c:pt>
                <c:pt idx="48">
                  <c:v>3714507</c:v>
                </c:pt>
                <c:pt idx="49">
                  <c:v>3781763</c:v>
                </c:pt>
                <c:pt idx="50">
                  <c:v>3796755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A0-4034-9467-32F094769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029424"/>
        <c:axId val="1765040944"/>
      </c:lineChart>
      <c:catAx>
        <c:axId val="1765029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40944"/>
        <c:crosses val="autoZero"/>
        <c:auto val="1"/>
        <c:lblAlgn val="ctr"/>
        <c:lblOffset val="100"/>
        <c:noMultiLvlLbl val="0"/>
      </c:catAx>
      <c:valAx>
        <c:axId val="1765040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2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1006463314331862"/>
          <c:y val="3.0600677868022407E-2"/>
          <c:w val="0.45027535745201824"/>
          <c:h val="0.25016163520100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 Dashboard.xlsx]Pivots!PivotTable1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P&amp;L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Pivots!$E$20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Pivots!$D$21:$D$33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Pivots!$E$21:$E$33</c:f>
              <c:numCache>
                <c:formatCode>General</c:formatCode>
                <c:ptCount val="12"/>
                <c:pt idx="0">
                  <c:v>370069</c:v>
                </c:pt>
                <c:pt idx="1">
                  <c:v>199660</c:v>
                </c:pt>
                <c:pt idx="2">
                  <c:v>285369</c:v>
                </c:pt>
                <c:pt idx="3">
                  <c:v>410548</c:v>
                </c:pt>
                <c:pt idx="4">
                  <c:v>417114</c:v>
                </c:pt>
                <c:pt idx="5">
                  <c:v>309831</c:v>
                </c:pt>
                <c:pt idx="6">
                  <c:v>553364</c:v>
                </c:pt>
                <c:pt idx="7">
                  <c:v>330169</c:v>
                </c:pt>
                <c:pt idx="8">
                  <c:v>272448</c:v>
                </c:pt>
                <c:pt idx="9">
                  <c:v>217353</c:v>
                </c:pt>
                <c:pt idx="10">
                  <c:v>265480</c:v>
                </c:pt>
                <c:pt idx="11">
                  <c:v>165350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F-4E2E-87F9-1CB7D9B1C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65063504"/>
        <c:axId val="1765080304"/>
      </c:barChart>
      <c:catAx>
        <c:axId val="1765063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80304"/>
        <c:crosses val="autoZero"/>
        <c:auto val="1"/>
        <c:lblAlgn val="ctr"/>
        <c:lblOffset val="100"/>
        <c:noMultiLvlLbl val="0"/>
      </c:catAx>
      <c:valAx>
        <c:axId val="1765080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6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 Dashboard.xlsx]Pivots!PivotTable2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Day</a:t>
            </a:r>
            <a:r>
              <a:rPr lang="en-IN" baseline="0"/>
              <a:t> Wise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Pivots!$N$2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Pivots!$M$3:$M$8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Pivots!$N$3:$N$8</c:f>
              <c:numCache>
                <c:formatCode>General</c:formatCode>
                <c:ptCount val="5"/>
                <c:pt idx="0">
                  <c:v>738894</c:v>
                </c:pt>
                <c:pt idx="1">
                  <c:v>956288</c:v>
                </c:pt>
                <c:pt idx="2">
                  <c:v>522363</c:v>
                </c:pt>
                <c:pt idx="3">
                  <c:v>570480</c:v>
                </c:pt>
                <c:pt idx="4">
                  <c:v>1008730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E-4AC5-9DF3-878CECE96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65110064"/>
        <c:axId val="1765115824"/>
      </c:barChart>
      <c:catAx>
        <c:axId val="1765110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15824"/>
        <c:crosses val="autoZero"/>
        <c:auto val="1"/>
        <c:lblAlgn val="ctr"/>
        <c:lblOffset val="100"/>
        <c:noMultiLvlLbl val="0"/>
      </c:catAx>
      <c:valAx>
        <c:axId val="1765115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1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gradFill flip="none" rotWithShape="1">
        <a:gsLst>
          <a:gs pos="0">
            <a:schemeClr val="accent3">
              <a:lumMod val="0"/>
              <a:lumOff val="100000"/>
            </a:schemeClr>
          </a:gs>
          <a:gs pos="35000">
            <a:schemeClr val="accent3">
              <a:lumMod val="0"/>
              <a:lumOff val="100000"/>
            </a:schemeClr>
          </a:gs>
          <a:gs pos="100000">
            <a:schemeClr val="accent3">
              <a:lumMod val="100000"/>
            </a:schemeClr>
          </a:gs>
        </a:gsLst>
        <a:path path="circle">
          <a:fillToRect l="50000" t="-80000" r="50000" b="180000"/>
        </a:path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100"/>
              <a:t>Breakup</a:t>
            </a:r>
            <a:r>
              <a:rPr lang="en-IN" sz="1100" baseline="0"/>
              <a:t> of Returns</a:t>
            </a:r>
            <a:endParaRPr lang="en-IN" sz="1100"/>
          </a:p>
        </c:rich>
      </c:tx>
      <c:layout>
        <c:manualLayout>
          <c:xMode val="edge"/>
          <c:yMode val="edge"/>
          <c:x val="0.20007052307137549"/>
          <c:y val="6.77353727913197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4"/>
            </a:solidFill>
          </c:spPr>
          <c:explosion val="8"/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E7-4ABF-AD53-6F313910521C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E7-4ABF-AD53-6F31391052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7A692BE-D351-43BC-890A-40AB1F4CD244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2E7-4ABF-AD53-6F31391052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88F54F-E42B-4B4D-9021-A0B339D22F12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2E7-4ABF-AD53-6F313910521C}"/>
                </c:ext>
              </c:extLst>
            </c:dLbl>
            <c:spPr>
              <a:noFill/>
              <a:ln>
                <a:noFill/>
              </a:ln>
              <a:effectLst>
                <a:glow rad="127000">
                  <a:schemeClr val="tx1"/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'Sample data'!$N$1:$O$1</c:f>
              <c:strCache>
                <c:ptCount val="2"/>
                <c:pt idx="0">
                  <c:v>Algo</c:v>
                </c:pt>
                <c:pt idx="1">
                  <c:v>Manual</c:v>
                </c:pt>
              </c:strCache>
            </c:strRef>
          </c:cat>
          <c:val>
            <c:numRef>
              <c:f>'Sample data'!$N$2:$O$2</c:f>
              <c:numCache>
                <c:formatCode>_(* #,##0_);_(* \(#,##0\);_(* "-"??_);_(@_)</c:formatCode>
                <c:ptCount val="2"/>
                <c:pt idx="0">
                  <c:v>1561603</c:v>
                </c:pt>
                <c:pt idx="1">
                  <c:v>2235152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E7-4ABF-AD53-6F3139105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6775145084865"/>
          <c:y val="0.48676110462268773"/>
          <c:w val="0.22151264808149723"/>
          <c:h val="0.269140639716686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effectLst>
      <a:glow rad="635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Max DD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Sheet3!$E$4:$E$253</c:f>
              <c:numCache>
                <c:formatCode>General</c:formatCode>
                <c:ptCount val="250"/>
                <c:pt idx="0">
                  <c:v>-496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-434</c:v>
                </c:pt>
                <c:pt idx="10">
                  <c:v>0</c:v>
                </c:pt>
                <c:pt idx="11">
                  <c:v>0</c:v>
                </c:pt>
                <c:pt idx="12">
                  <c:v>-559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-467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-171</c:v>
                </c:pt>
                <c:pt idx="30">
                  <c:v>0</c:v>
                </c:pt>
                <c:pt idx="31">
                  <c:v>-374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-226</c:v>
                </c:pt>
                <c:pt idx="36">
                  <c:v>0</c:v>
                </c:pt>
                <c:pt idx="37">
                  <c:v>0</c:v>
                </c:pt>
                <c:pt idx="38">
                  <c:v>-156</c:v>
                </c:pt>
                <c:pt idx="39">
                  <c:v>-57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-525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-503</c:v>
                </c:pt>
                <c:pt idx="55">
                  <c:v>-724</c:v>
                </c:pt>
                <c:pt idx="56">
                  <c:v>-592</c:v>
                </c:pt>
                <c:pt idx="57">
                  <c:v>-1285</c:v>
                </c:pt>
                <c:pt idx="58">
                  <c:v>-1260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-640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-234</c:v>
                </c:pt>
                <c:pt idx="76">
                  <c:v>-85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-60</c:v>
                </c:pt>
                <c:pt idx="82">
                  <c:v>0</c:v>
                </c:pt>
                <c:pt idx="83">
                  <c:v>-484</c:v>
                </c:pt>
                <c:pt idx="84">
                  <c:v>-598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-333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-818</c:v>
                </c:pt>
                <c:pt idx="106">
                  <c:v>-1259</c:v>
                </c:pt>
                <c:pt idx="107">
                  <c:v>0</c:v>
                </c:pt>
                <c:pt idx="108">
                  <c:v>-399</c:v>
                </c:pt>
                <c:pt idx="109">
                  <c:v>0</c:v>
                </c:pt>
                <c:pt idx="110">
                  <c:v>-276</c:v>
                </c:pt>
                <c:pt idx="111">
                  <c:v>-445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-181</c:v>
                </c:pt>
                <c:pt idx="116">
                  <c:v>-223</c:v>
                </c:pt>
                <c:pt idx="117">
                  <c:v>-342</c:v>
                </c:pt>
                <c:pt idx="118">
                  <c:v>0</c:v>
                </c:pt>
                <c:pt idx="119">
                  <c:v>0</c:v>
                </c:pt>
                <c:pt idx="120">
                  <c:v>-187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-469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-86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-613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-356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-67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-370</c:v>
                </c:pt>
                <c:pt idx="174">
                  <c:v>-728</c:v>
                </c:pt>
                <c:pt idx="175">
                  <c:v>0</c:v>
                </c:pt>
                <c:pt idx="176">
                  <c:v>-199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-194</c:v>
                </c:pt>
                <c:pt idx="190">
                  <c:v>-17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-1</c:v>
                </c:pt>
                <c:pt idx="196">
                  <c:v>0</c:v>
                </c:pt>
                <c:pt idx="197">
                  <c:v>0</c:v>
                </c:pt>
                <c:pt idx="198">
                  <c:v>-572</c:v>
                </c:pt>
                <c:pt idx="199">
                  <c:v>-1010</c:v>
                </c:pt>
                <c:pt idx="200">
                  <c:v>-254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-263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-203</c:v>
                </c:pt>
                <c:pt idx="218">
                  <c:v>-264</c:v>
                </c:pt>
                <c:pt idx="219">
                  <c:v>-20</c:v>
                </c:pt>
                <c:pt idx="220">
                  <c:v>0</c:v>
                </c:pt>
                <c:pt idx="221">
                  <c:v>-389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-797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-91</c:v>
                </c:pt>
                <c:pt idx="238">
                  <c:v>0</c:v>
                </c:pt>
                <c:pt idx="239">
                  <c:v>-193</c:v>
                </c:pt>
                <c:pt idx="240">
                  <c:v>-365</c:v>
                </c:pt>
                <c:pt idx="241">
                  <c:v>-527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-200</c:v>
                </c:pt>
                <c:pt idx="248">
                  <c:v>-322</c:v>
                </c:pt>
                <c:pt idx="249">
                  <c:v>-496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8-4E94-A16B-CA6A49C27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01351968"/>
        <c:axId val="2101354848"/>
      </c:barChart>
      <c:catAx>
        <c:axId val="210135196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54848"/>
        <c:crosses val="autoZero"/>
        <c:auto val="1"/>
        <c:lblAlgn val="ctr"/>
        <c:lblOffset val="100"/>
        <c:noMultiLvlLbl val="0"/>
      </c:catAx>
      <c:valAx>
        <c:axId val="2101354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5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Max DD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Sheet3!$E$4:$E$253</c:f>
              <c:numCache>
                <c:formatCode>General</c:formatCode>
                <c:ptCount val="250"/>
                <c:pt idx="0">
                  <c:v>-496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-434</c:v>
                </c:pt>
                <c:pt idx="10">
                  <c:v>0</c:v>
                </c:pt>
                <c:pt idx="11">
                  <c:v>0</c:v>
                </c:pt>
                <c:pt idx="12">
                  <c:v>-559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-467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-171</c:v>
                </c:pt>
                <c:pt idx="30">
                  <c:v>0</c:v>
                </c:pt>
                <c:pt idx="31">
                  <c:v>-374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-226</c:v>
                </c:pt>
                <c:pt idx="36">
                  <c:v>0</c:v>
                </c:pt>
                <c:pt idx="37">
                  <c:v>0</c:v>
                </c:pt>
                <c:pt idx="38">
                  <c:v>-156</c:v>
                </c:pt>
                <c:pt idx="39">
                  <c:v>-57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-525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-503</c:v>
                </c:pt>
                <c:pt idx="55">
                  <c:v>-724</c:v>
                </c:pt>
                <c:pt idx="56">
                  <c:v>-592</c:v>
                </c:pt>
                <c:pt idx="57">
                  <c:v>-1285</c:v>
                </c:pt>
                <c:pt idx="58">
                  <c:v>-1260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-640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-234</c:v>
                </c:pt>
                <c:pt idx="76">
                  <c:v>-85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-60</c:v>
                </c:pt>
                <c:pt idx="82">
                  <c:v>0</c:v>
                </c:pt>
                <c:pt idx="83">
                  <c:v>-484</c:v>
                </c:pt>
                <c:pt idx="84">
                  <c:v>-598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-333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-818</c:v>
                </c:pt>
                <c:pt idx="106">
                  <c:v>-1259</c:v>
                </c:pt>
                <c:pt idx="107">
                  <c:v>0</c:v>
                </c:pt>
                <c:pt idx="108">
                  <c:v>-399</c:v>
                </c:pt>
                <c:pt idx="109">
                  <c:v>0</c:v>
                </c:pt>
                <c:pt idx="110">
                  <c:v>-276</c:v>
                </c:pt>
                <c:pt idx="111">
                  <c:v>-445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-181</c:v>
                </c:pt>
                <c:pt idx="116">
                  <c:v>-223</c:v>
                </c:pt>
                <c:pt idx="117">
                  <c:v>-342</c:v>
                </c:pt>
                <c:pt idx="118">
                  <c:v>0</c:v>
                </c:pt>
                <c:pt idx="119">
                  <c:v>0</c:v>
                </c:pt>
                <c:pt idx="120">
                  <c:v>-187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-469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-86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-613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-356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-67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-370</c:v>
                </c:pt>
                <c:pt idx="174">
                  <c:v>-728</c:v>
                </c:pt>
                <c:pt idx="175">
                  <c:v>0</c:v>
                </c:pt>
                <c:pt idx="176">
                  <c:v>-199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-194</c:v>
                </c:pt>
                <c:pt idx="190">
                  <c:v>-17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-1</c:v>
                </c:pt>
                <c:pt idx="196">
                  <c:v>0</c:v>
                </c:pt>
                <c:pt idx="197">
                  <c:v>0</c:v>
                </c:pt>
                <c:pt idx="198">
                  <c:v>-572</c:v>
                </c:pt>
                <c:pt idx="199">
                  <c:v>-1010</c:v>
                </c:pt>
                <c:pt idx="200">
                  <c:v>-254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-263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-203</c:v>
                </c:pt>
                <c:pt idx="218">
                  <c:v>-264</c:v>
                </c:pt>
                <c:pt idx="219">
                  <c:v>-20</c:v>
                </c:pt>
                <c:pt idx="220">
                  <c:v>0</c:v>
                </c:pt>
                <c:pt idx="221">
                  <c:v>-389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-797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-91</c:v>
                </c:pt>
                <c:pt idx="238">
                  <c:v>0</c:v>
                </c:pt>
                <c:pt idx="239">
                  <c:v>-193</c:v>
                </c:pt>
                <c:pt idx="240">
                  <c:v>-365</c:v>
                </c:pt>
                <c:pt idx="241">
                  <c:v>-527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-200</c:v>
                </c:pt>
                <c:pt idx="248">
                  <c:v>-322</c:v>
                </c:pt>
                <c:pt idx="249">
                  <c:v>-496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A-45ED-B3C4-C861C03BF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01351968"/>
        <c:axId val="2101354848"/>
      </c:barChart>
      <c:catAx>
        <c:axId val="2101351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54848"/>
        <c:crosses val="autoZero"/>
        <c:auto val="1"/>
        <c:lblAlgn val="ctr"/>
        <c:lblOffset val="100"/>
        <c:noMultiLvlLbl val="0"/>
      </c:catAx>
      <c:valAx>
        <c:axId val="2101354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5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 Dashboard.xlsx]Pivots!PivotTable33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Pivots!$A$4:$A$254</c:f>
              <c:strCache>
                <c:ptCount val="2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</c:strCache>
            </c:strRef>
          </c:cat>
          <c:val>
            <c:numRef>
              <c:f>Pivots!$B$4:$B$254</c:f>
              <c:numCache>
                <c:formatCode>General</c:formatCode>
                <c:ptCount val="250"/>
                <c:pt idx="0">
                  <c:v>18245</c:v>
                </c:pt>
                <c:pt idx="1">
                  <c:v>43199</c:v>
                </c:pt>
                <c:pt idx="2">
                  <c:v>77718</c:v>
                </c:pt>
                <c:pt idx="3">
                  <c:v>106154</c:v>
                </c:pt>
                <c:pt idx="4">
                  <c:v>86698</c:v>
                </c:pt>
                <c:pt idx="5">
                  <c:v>142913</c:v>
                </c:pt>
                <c:pt idx="6">
                  <c:v>193223</c:v>
                </c:pt>
                <c:pt idx="7">
                  <c:v>217629</c:v>
                </c:pt>
                <c:pt idx="8">
                  <c:v>226367</c:v>
                </c:pt>
                <c:pt idx="9">
                  <c:v>267726</c:v>
                </c:pt>
                <c:pt idx="10">
                  <c:v>278578</c:v>
                </c:pt>
                <c:pt idx="11">
                  <c:v>278806</c:v>
                </c:pt>
                <c:pt idx="12">
                  <c:v>323229</c:v>
                </c:pt>
                <c:pt idx="13">
                  <c:v>307259</c:v>
                </c:pt>
                <c:pt idx="14">
                  <c:v>342026</c:v>
                </c:pt>
                <c:pt idx="15">
                  <c:v>323128</c:v>
                </c:pt>
                <c:pt idx="16">
                  <c:v>298401</c:v>
                </c:pt>
                <c:pt idx="17">
                  <c:v>306968</c:v>
                </c:pt>
                <c:pt idx="18">
                  <c:v>318445</c:v>
                </c:pt>
                <c:pt idx="19">
                  <c:v>377341</c:v>
                </c:pt>
                <c:pt idx="20">
                  <c:v>380420</c:v>
                </c:pt>
                <c:pt idx="21">
                  <c:v>377440</c:v>
                </c:pt>
                <c:pt idx="22">
                  <c:v>370069</c:v>
                </c:pt>
                <c:pt idx="23">
                  <c:v>359100</c:v>
                </c:pt>
                <c:pt idx="24">
                  <c:v>363172</c:v>
                </c:pt>
                <c:pt idx="25">
                  <c:v>398366</c:v>
                </c:pt>
                <c:pt idx="26">
                  <c:v>397902</c:v>
                </c:pt>
                <c:pt idx="27">
                  <c:v>419062</c:v>
                </c:pt>
                <c:pt idx="28">
                  <c:v>439951</c:v>
                </c:pt>
                <c:pt idx="29">
                  <c:v>412705</c:v>
                </c:pt>
                <c:pt idx="30">
                  <c:v>407061</c:v>
                </c:pt>
                <c:pt idx="31">
                  <c:v>448848</c:v>
                </c:pt>
                <c:pt idx="32">
                  <c:v>474411</c:v>
                </c:pt>
                <c:pt idx="33">
                  <c:v>506572</c:v>
                </c:pt>
                <c:pt idx="34">
                  <c:v>562600</c:v>
                </c:pt>
                <c:pt idx="35">
                  <c:v>588412</c:v>
                </c:pt>
                <c:pt idx="36">
                  <c:v>570201</c:v>
                </c:pt>
                <c:pt idx="37">
                  <c:v>567946</c:v>
                </c:pt>
                <c:pt idx="38">
                  <c:v>550020</c:v>
                </c:pt>
                <c:pt idx="39">
                  <c:v>553254</c:v>
                </c:pt>
                <c:pt idx="40">
                  <c:v>557119</c:v>
                </c:pt>
                <c:pt idx="41">
                  <c:v>562141</c:v>
                </c:pt>
                <c:pt idx="42">
                  <c:v>569729</c:v>
                </c:pt>
                <c:pt idx="43">
                  <c:v>583749</c:v>
                </c:pt>
                <c:pt idx="44">
                  <c:v>638559</c:v>
                </c:pt>
                <c:pt idx="45">
                  <c:v>650773</c:v>
                </c:pt>
                <c:pt idx="46">
                  <c:v>639501</c:v>
                </c:pt>
                <c:pt idx="47">
                  <c:v>686492</c:v>
                </c:pt>
                <c:pt idx="48">
                  <c:v>708275</c:v>
                </c:pt>
                <c:pt idx="49">
                  <c:v>730125</c:v>
                </c:pt>
                <c:pt idx="50">
                  <c:v>755290</c:v>
                </c:pt>
                <c:pt idx="51">
                  <c:v>731046</c:v>
                </c:pt>
                <c:pt idx="52">
                  <c:v>770110</c:v>
                </c:pt>
                <c:pt idx="53">
                  <c:v>794909</c:v>
                </c:pt>
                <c:pt idx="54">
                  <c:v>804377</c:v>
                </c:pt>
                <c:pt idx="55">
                  <c:v>781101</c:v>
                </c:pt>
                <c:pt idx="56">
                  <c:v>790766</c:v>
                </c:pt>
                <c:pt idx="57">
                  <c:v>849448</c:v>
                </c:pt>
                <c:pt idx="58">
                  <c:v>873348</c:v>
                </c:pt>
                <c:pt idx="59">
                  <c:v>869037</c:v>
                </c:pt>
                <c:pt idx="60">
                  <c:v>868443</c:v>
                </c:pt>
                <c:pt idx="61">
                  <c:v>892903</c:v>
                </c:pt>
                <c:pt idx="62">
                  <c:v>880548</c:v>
                </c:pt>
                <c:pt idx="63">
                  <c:v>855098</c:v>
                </c:pt>
                <c:pt idx="64">
                  <c:v>860039</c:v>
                </c:pt>
                <c:pt idx="65">
                  <c:v>905752</c:v>
                </c:pt>
                <c:pt idx="66">
                  <c:v>941618</c:v>
                </c:pt>
                <c:pt idx="67">
                  <c:v>925505</c:v>
                </c:pt>
                <c:pt idx="68">
                  <c:v>973807</c:v>
                </c:pt>
                <c:pt idx="69">
                  <c:v>1013053</c:v>
                </c:pt>
                <c:pt idx="70">
                  <c:v>1031382</c:v>
                </c:pt>
                <c:pt idx="71">
                  <c:v>1062414</c:v>
                </c:pt>
                <c:pt idx="72">
                  <c:v>1073578</c:v>
                </c:pt>
                <c:pt idx="73">
                  <c:v>1046612</c:v>
                </c:pt>
                <c:pt idx="74">
                  <c:v>1053868</c:v>
                </c:pt>
                <c:pt idx="75">
                  <c:v>1087421</c:v>
                </c:pt>
                <c:pt idx="76">
                  <c:v>1113135</c:v>
                </c:pt>
                <c:pt idx="77">
                  <c:v>1123587</c:v>
                </c:pt>
                <c:pt idx="78">
                  <c:v>1130949</c:v>
                </c:pt>
                <c:pt idx="79">
                  <c:v>1140021</c:v>
                </c:pt>
                <c:pt idx="80">
                  <c:v>1174024</c:v>
                </c:pt>
                <c:pt idx="81">
                  <c:v>1194841</c:v>
                </c:pt>
                <c:pt idx="82">
                  <c:v>1243473</c:v>
                </c:pt>
                <c:pt idx="83">
                  <c:v>1243915</c:v>
                </c:pt>
                <c:pt idx="84">
                  <c:v>1238411</c:v>
                </c:pt>
                <c:pt idx="85">
                  <c:v>1265646</c:v>
                </c:pt>
                <c:pt idx="86">
                  <c:v>1303092</c:v>
                </c:pt>
                <c:pt idx="87">
                  <c:v>1357387</c:v>
                </c:pt>
                <c:pt idx="88">
                  <c:v>1335086</c:v>
                </c:pt>
                <c:pt idx="89">
                  <c:v>1312585</c:v>
                </c:pt>
                <c:pt idx="90">
                  <c:v>1331790</c:v>
                </c:pt>
                <c:pt idx="91">
                  <c:v>1373345</c:v>
                </c:pt>
                <c:pt idx="92">
                  <c:v>1394368</c:v>
                </c:pt>
                <c:pt idx="93">
                  <c:v>1410628</c:v>
                </c:pt>
                <c:pt idx="94">
                  <c:v>1388434</c:v>
                </c:pt>
                <c:pt idx="95">
                  <c:v>1402155</c:v>
                </c:pt>
                <c:pt idx="96">
                  <c:v>1387618</c:v>
                </c:pt>
                <c:pt idx="97">
                  <c:v>1432134</c:v>
                </c:pt>
                <c:pt idx="98">
                  <c:v>1466591</c:v>
                </c:pt>
                <c:pt idx="99">
                  <c:v>1474383</c:v>
                </c:pt>
                <c:pt idx="100">
                  <c:v>1469339</c:v>
                </c:pt>
                <c:pt idx="101">
                  <c:v>1472988</c:v>
                </c:pt>
                <c:pt idx="102">
                  <c:v>1524685</c:v>
                </c:pt>
                <c:pt idx="103">
                  <c:v>1571566</c:v>
                </c:pt>
                <c:pt idx="104">
                  <c:v>1613758</c:v>
                </c:pt>
                <c:pt idx="105">
                  <c:v>1641677</c:v>
                </c:pt>
                <c:pt idx="106">
                  <c:v>1661420</c:v>
                </c:pt>
                <c:pt idx="107">
                  <c:v>1682760</c:v>
                </c:pt>
                <c:pt idx="108">
                  <c:v>1729487</c:v>
                </c:pt>
                <c:pt idx="109">
                  <c:v>1775835</c:v>
                </c:pt>
                <c:pt idx="110">
                  <c:v>1770287</c:v>
                </c:pt>
                <c:pt idx="111">
                  <c:v>1777595</c:v>
                </c:pt>
                <c:pt idx="112">
                  <c:v>1781663</c:v>
                </c:pt>
                <c:pt idx="113">
                  <c:v>1838310</c:v>
                </c:pt>
                <c:pt idx="114">
                  <c:v>1861737</c:v>
                </c:pt>
                <c:pt idx="115">
                  <c:v>1841232</c:v>
                </c:pt>
                <c:pt idx="116">
                  <c:v>1854809</c:v>
                </c:pt>
                <c:pt idx="117">
                  <c:v>1883099</c:v>
                </c:pt>
                <c:pt idx="118">
                  <c:v>1863394</c:v>
                </c:pt>
                <c:pt idx="119">
                  <c:v>1883352</c:v>
                </c:pt>
                <c:pt idx="120">
                  <c:v>1914531</c:v>
                </c:pt>
                <c:pt idx="121">
                  <c:v>1924884</c:v>
                </c:pt>
                <c:pt idx="122">
                  <c:v>1967760</c:v>
                </c:pt>
                <c:pt idx="123">
                  <c:v>1977033</c:v>
                </c:pt>
                <c:pt idx="124">
                  <c:v>2008632</c:v>
                </c:pt>
                <c:pt idx="125">
                  <c:v>1997402</c:v>
                </c:pt>
                <c:pt idx="126">
                  <c:v>2006026</c:v>
                </c:pt>
                <c:pt idx="127">
                  <c:v>1994495</c:v>
                </c:pt>
                <c:pt idx="128">
                  <c:v>1992591</c:v>
                </c:pt>
                <c:pt idx="129">
                  <c:v>1989155</c:v>
                </c:pt>
                <c:pt idx="130">
                  <c:v>2030890</c:v>
                </c:pt>
                <c:pt idx="131">
                  <c:v>2075444</c:v>
                </c:pt>
                <c:pt idx="132">
                  <c:v>2136684</c:v>
                </c:pt>
                <c:pt idx="133">
                  <c:v>2182516</c:v>
                </c:pt>
                <c:pt idx="134">
                  <c:v>2198062</c:v>
                </c:pt>
                <c:pt idx="135">
                  <c:v>2176614</c:v>
                </c:pt>
                <c:pt idx="136">
                  <c:v>2160867</c:v>
                </c:pt>
                <c:pt idx="137">
                  <c:v>2161869</c:v>
                </c:pt>
                <c:pt idx="138">
                  <c:v>2219802</c:v>
                </c:pt>
                <c:pt idx="139">
                  <c:v>2283838</c:v>
                </c:pt>
                <c:pt idx="140">
                  <c:v>2279024</c:v>
                </c:pt>
                <c:pt idx="141">
                  <c:v>2277927</c:v>
                </c:pt>
                <c:pt idx="142">
                  <c:v>2279196</c:v>
                </c:pt>
                <c:pt idx="143">
                  <c:v>2292505</c:v>
                </c:pt>
                <c:pt idx="144">
                  <c:v>2323322</c:v>
                </c:pt>
                <c:pt idx="145">
                  <c:v>2353533</c:v>
                </c:pt>
                <c:pt idx="146">
                  <c:v>2400475</c:v>
                </c:pt>
                <c:pt idx="147">
                  <c:v>2449694</c:v>
                </c:pt>
                <c:pt idx="148">
                  <c:v>2474612</c:v>
                </c:pt>
                <c:pt idx="149">
                  <c:v>2524646</c:v>
                </c:pt>
                <c:pt idx="150">
                  <c:v>2511344</c:v>
                </c:pt>
                <c:pt idx="151">
                  <c:v>2545955</c:v>
                </c:pt>
                <c:pt idx="152">
                  <c:v>2540042</c:v>
                </c:pt>
                <c:pt idx="153">
                  <c:v>2555932</c:v>
                </c:pt>
                <c:pt idx="154">
                  <c:v>2568490</c:v>
                </c:pt>
                <c:pt idx="155">
                  <c:v>2600908</c:v>
                </c:pt>
                <c:pt idx="156">
                  <c:v>2632859</c:v>
                </c:pt>
                <c:pt idx="157">
                  <c:v>2675655</c:v>
                </c:pt>
                <c:pt idx="158">
                  <c:v>2694221</c:v>
                </c:pt>
                <c:pt idx="159">
                  <c:v>2725165</c:v>
                </c:pt>
                <c:pt idx="160">
                  <c:v>2719172</c:v>
                </c:pt>
                <c:pt idx="161">
                  <c:v>2746473</c:v>
                </c:pt>
                <c:pt idx="162">
                  <c:v>2776841</c:v>
                </c:pt>
                <c:pt idx="163">
                  <c:v>2791356</c:v>
                </c:pt>
                <c:pt idx="164">
                  <c:v>2822732</c:v>
                </c:pt>
                <c:pt idx="165">
                  <c:v>2805148</c:v>
                </c:pt>
                <c:pt idx="166">
                  <c:v>2819852</c:v>
                </c:pt>
                <c:pt idx="167">
                  <c:v>2876694</c:v>
                </c:pt>
                <c:pt idx="168">
                  <c:v>2893707</c:v>
                </c:pt>
                <c:pt idx="169">
                  <c:v>2878471</c:v>
                </c:pt>
                <c:pt idx="170">
                  <c:v>2911538</c:v>
                </c:pt>
                <c:pt idx="171">
                  <c:v>2898792</c:v>
                </c:pt>
                <c:pt idx="172">
                  <c:v>2876124</c:v>
                </c:pt>
                <c:pt idx="173">
                  <c:v>2900051</c:v>
                </c:pt>
                <c:pt idx="174">
                  <c:v>2936947</c:v>
                </c:pt>
                <c:pt idx="175">
                  <c:v>2965934</c:v>
                </c:pt>
                <c:pt idx="176">
                  <c:v>2970800</c:v>
                </c:pt>
                <c:pt idx="177">
                  <c:v>2992800</c:v>
                </c:pt>
                <c:pt idx="178">
                  <c:v>3034685</c:v>
                </c:pt>
                <c:pt idx="179">
                  <c:v>3074768</c:v>
                </c:pt>
                <c:pt idx="180">
                  <c:v>3084420</c:v>
                </c:pt>
                <c:pt idx="181">
                  <c:v>3071174</c:v>
                </c:pt>
                <c:pt idx="182">
                  <c:v>3085989</c:v>
                </c:pt>
                <c:pt idx="183">
                  <c:v>3104214</c:v>
                </c:pt>
                <c:pt idx="184">
                  <c:v>3130317</c:v>
                </c:pt>
                <c:pt idx="185">
                  <c:v>3174935</c:v>
                </c:pt>
                <c:pt idx="186">
                  <c:v>3188608</c:v>
                </c:pt>
                <c:pt idx="187">
                  <c:v>3180236</c:v>
                </c:pt>
                <c:pt idx="188">
                  <c:v>3156922</c:v>
                </c:pt>
                <c:pt idx="189">
                  <c:v>3179372</c:v>
                </c:pt>
                <c:pt idx="190">
                  <c:v>3155961</c:v>
                </c:pt>
                <c:pt idx="191">
                  <c:v>3136484</c:v>
                </c:pt>
                <c:pt idx="192">
                  <c:v>3151552</c:v>
                </c:pt>
                <c:pt idx="193">
                  <c:v>3137340</c:v>
                </c:pt>
                <c:pt idx="194">
                  <c:v>3148572</c:v>
                </c:pt>
                <c:pt idx="195">
                  <c:v>3143528</c:v>
                </c:pt>
                <c:pt idx="196">
                  <c:v>3158790</c:v>
                </c:pt>
                <c:pt idx="197">
                  <c:v>3174061</c:v>
                </c:pt>
                <c:pt idx="198">
                  <c:v>3233827</c:v>
                </c:pt>
                <c:pt idx="199">
                  <c:v>3257296</c:v>
                </c:pt>
                <c:pt idx="200">
                  <c:v>3243862</c:v>
                </c:pt>
                <c:pt idx="201">
                  <c:v>3217488</c:v>
                </c:pt>
                <c:pt idx="202">
                  <c:v>3224785</c:v>
                </c:pt>
                <c:pt idx="203">
                  <c:v>3230932</c:v>
                </c:pt>
                <c:pt idx="204">
                  <c:v>3231953</c:v>
                </c:pt>
                <c:pt idx="205">
                  <c:v>3249283</c:v>
                </c:pt>
                <c:pt idx="206">
                  <c:v>3226684</c:v>
                </c:pt>
                <c:pt idx="207">
                  <c:v>3223371</c:v>
                </c:pt>
                <c:pt idx="208">
                  <c:v>3238974</c:v>
                </c:pt>
                <c:pt idx="209">
                  <c:v>3231739</c:v>
                </c:pt>
                <c:pt idx="210">
                  <c:v>3251261</c:v>
                </c:pt>
                <c:pt idx="211">
                  <c:v>3263307</c:v>
                </c:pt>
                <c:pt idx="212">
                  <c:v>3307627</c:v>
                </c:pt>
                <c:pt idx="213">
                  <c:v>3287701</c:v>
                </c:pt>
                <c:pt idx="214">
                  <c:v>3319849</c:v>
                </c:pt>
                <c:pt idx="215">
                  <c:v>3345216</c:v>
                </c:pt>
                <c:pt idx="216">
                  <c:v>3369771</c:v>
                </c:pt>
                <c:pt idx="217">
                  <c:v>3365925</c:v>
                </c:pt>
                <c:pt idx="218">
                  <c:v>3378852</c:v>
                </c:pt>
                <c:pt idx="219">
                  <c:v>3418792</c:v>
                </c:pt>
                <c:pt idx="220">
                  <c:v>3385078</c:v>
                </c:pt>
                <c:pt idx="221">
                  <c:v>3396942</c:v>
                </c:pt>
                <c:pt idx="222">
                  <c:v>3391127</c:v>
                </c:pt>
                <c:pt idx="223">
                  <c:v>3381246</c:v>
                </c:pt>
                <c:pt idx="224">
                  <c:v>3410521</c:v>
                </c:pt>
                <c:pt idx="225">
                  <c:v>3412658</c:v>
                </c:pt>
                <c:pt idx="226">
                  <c:v>3423767</c:v>
                </c:pt>
                <c:pt idx="227">
                  <c:v>3470324</c:v>
                </c:pt>
                <c:pt idx="228">
                  <c:v>3473858</c:v>
                </c:pt>
                <c:pt idx="229">
                  <c:v>3503939</c:v>
                </c:pt>
                <c:pt idx="230">
                  <c:v>3525797</c:v>
                </c:pt>
                <c:pt idx="231">
                  <c:v>3574573</c:v>
                </c:pt>
                <c:pt idx="232">
                  <c:v>3597208</c:v>
                </c:pt>
                <c:pt idx="233">
                  <c:v>3643647</c:v>
                </c:pt>
                <c:pt idx="234">
                  <c:v>3623415</c:v>
                </c:pt>
                <c:pt idx="235">
                  <c:v>3614276</c:v>
                </c:pt>
                <c:pt idx="236">
                  <c:v>3628974</c:v>
                </c:pt>
                <c:pt idx="237">
                  <c:v>3631405</c:v>
                </c:pt>
                <c:pt idx="238">
                  <c:v>3677937</c:v>
                </c:pt>
                <c:pt idx="239">
                  <c:v>3682301</c:v>
                </c:pt>
                <c:pt idx="240">
                  <c:v>3697809</c:v>
                </c:pt>
                <c:pt idx="241">
                  <c:v>3677100</c:v>
                </c:pt>
                <c:pt idx="242">
                  <c:v>3714507</c:v>
                </c:pt>
                <c:pt idx="243">
                  <c:v>3734658</c:v>
                </c:pt>
                <c:pt idx="244">
                  <c:v>3766369</c:v>
                </c:pt>
                <c:pt idx="245">
                  <c:v>3763446</c:v>
                </c:pt>
                <c:pt idx="246">
                  <c:v>3793334</c:v>
                </c:pt>
                <c:pt idx="247">
                  <c:v>3781763</c:v>
                </c:pt>
                <c:pt idx="248">
                  <c:v>3773515</c:v>
                </c:pt>
                <c:pt idx="249">
                  <c:v>3796755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8-46FE-B7D2-F916DD791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2224"/>
        <c:axId val="802820304"/>
      </c:lineChart>
      <c:catAx>
        <c:axId val="8028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20304"/>
        <c:crosses val="autoZero"/>
        <c:auto val="1"/>
        <c:lblAlgn val="ctr"/>
        <c:lblOffset val="100"/>
        <c:noMultiLvlLbl val="0"/>
      </c:catAx>
      <c:valAx>
        <c:axId val="80282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2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 Dashboard.xlsx]Pivots!PivotTable1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Pivots!$E$20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Pivots!$D$21:$D$33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Pivots!$E$21:$E$33</c:f>
              <c:numCache>
                <c:formatCode>General</c:formatCode>
                <c:ptCount val="12"/>
                <c:pt idx="0">
                  <c:v>370069</c:v>
                </c:pt>
                <c:pt idx="1">
                  <c:v>199660</c:v>
                </c:pt>
                <c:pt idx="2">
                  <c:v>285369</c:v>
                </c:pt>
                <c:pt idx="3">
                  <c:v>410548</c:v>
                </c:pt>
                <c:pt idx="4">
                  <c:v>417114</c:v>
                </c:pt>
                <c:pt idx="5">
                  <c:v>309831</c:v>
                </c:pt>
                <c:pt idx="6">
                  <c:v>553364</c:v>
                </c:pt>
                <c:pt idx="7">
                  <c:v>330169</c:v>
                </c:pt>
                <c:pt idx="8">
                  <c:v>272448</c:v>
                </c:pt>
                <c:pt idx="9">
                  <c:v>217353</c:v>
                </c:pt>
                <c:pt idx="10">
                  <c:v>265480</c:v>
                </c:pt>
                <c:pt idx="11">
                  <c:v>165350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432D-BF6C-76AB59FF4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65063504"/>
        <c:axId val="1765080304"/>
      </c:barChart>
      <c:catAx>
        <c:axId val="1765063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80304"/>
        <c:crosses val="autoZero"/>
        <c:auto val="1"/>
        <c:lblAlgn val="ctr"/>
        <c:lblOffset val="100"/>
        <c:noMultiLvlLbl val="0"/>
      </c:catAx>
      <c:valAx>
        <c:axId val="1765080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6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 Dashboard.xlsx]Pivots!PivotTable2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Pivots!$N$2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Pivots!$M$3:$M$8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Pivots!$N$3:$N$8</c:f>
              <c:numCache>
                <c:formatCode>General</c:formatCode>
                <c:ptCount val="5"/>
                <c:pt idx="0">
                  <c:v>738894</c:v>
                </c:pt>
                <c:pt idx="1">
                  <c:v>956288</c:v>
                </c:pt>
                <c:pt idx="2">
                  <c:v>522363</c:v>
                </c:pt>
                <c:pt idx="3">
                  <c:v>570480</c:v>
                </c:pt>
                <c:pt idx="4">
                  <c:v>1008730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A-4017-811C-C714D3AFC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65110064"/>
        <c:axId val="1765115824"/>
      </c:barChart>
      <c:catAx>
        <c:axId val="1765110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15824"/>
        <c:crosses val="autoZero"/>
        <c:auto val="1"/>
        <c:lblAlgn val="ctr"/>
        <c:lblOffset val="100"/>
        <c:noMultiLvlLbl val="0"/>
      </c:catAx>
      <c:valAx>
        <c:axId val="1765115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1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Weekly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Sheet7!$F$3</c:f>
              <c:strCache>
                <c:ptCount val="1"/>
                <c:pt idx="0">
                  <c:v>Algo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Sheet7!$F$4:$F$54</c:f>
              <c:numCache>
                <c:formatCode>#,##0</c:formatCode>
                <c:ptCount val="51"/>
                <c:pt idx="0">
                  <c:v>33007</c:v>
                </c:pt>
                <c:pt idx="1">
                  <c:v>100315</c:v>
                </c:pt>
                <c:pt idx="2">
                  <c:v>153404</c:v>
                </c:pt>
                <c:pt idx="3">
                  <c:v>134484</c:v>
                </c:pt>
                <c:pt idx="4">
                  <c:v>190376</c:v>
                </c:pt>
                <c:pt idx="5">
                  <c:v>175140</c:v>
                </c:pt>
                <c:pt idx="6">
                  <c:v>185846</c:v>
                </c:pt>
                <c:pt idx="7">
                  <c:v>214408</c:v>
                </c:pt>
                <c:pt idx="8">
                  <c:v>197765</c:v>
                </c:pt>
                <c:pt idx="9">
                  <c:v>216886</c:v>
                </c:pt>
                <c:pt idx="10">
                  <c:v>262723</c:v>
                </c:pt>
                <c:pt idx="11">
                  <c:v>321484</c:v>
                </c:pt>
                <c:pt idx="12">
                  <c:v>324911</c:v>
                </c:pt>
                <c:pt idx="13">
                  <c:v>355881</c:v>
                </c:pt>
                <c:pt idx="14">
                  <c:v>402606</c:v>
                </c:pt>
                <c:pt idx="15">
                  <c:v>427222</c:v>
                </c:pt>
                <c:pt idx="16">
                  <c:v>467110</c:v>
                </c:pt>
                <c:pt idx="17">
                  <c:v>542222</c:v>
                </c:pt>
                <c:pt idx="18">
                  <c:v>570811</c:v>
                </c:pt>
                <c:pt idx="19">
                  <c:v>595754</c:v>
                </c:pt>
                <c:pt idx="20">
                  <c:v>588813</c:v>
                </c:pt>
                <c:pt idx="21">
                  <c:v>705577</c:v>
                </c:pt>
                <c:pt idx="22">
                  <c:v>711423</c:v>
                </c:pt>
                <c:pt idx="23">
                  <c:v>767656</c:v>
                </c:pt>
                <c:pt idx="24">
                  <c:v>794198</c:v>
                </c:pt>
                <c:pt idx="25">
                  <c:v>831368</c:v>
                </c:pt>
                <c:pt idx="26">
                  <c:v>867766</c:v>
                </c:pt>
                <c:pt idx="27">
                  <c:v>870122</c:v>
                </c:pt>
                <c:pt idx="28">
                  <c:v>922085</c:v>
                </c:pt>
                <c:pt idx="29">
                  <c:v>1016678</c:v>
                </c:pt>
                <c:pt idx="30">
                  <c:v>1063662</c:v>
                </c:pt>
                <c:pt idx="31">
                  <c:v>1083384</c:v>
                </c:pt>
                <c:pt idx="32">
                  <c:v>1168729</c:v>
                </c:pt>
                <c:pt idx="33">
                  <c:v>1210260</c:v>
                </c:pt>
                <c:pt idx="34">
                  <c:v>1224290</c:v>
                </c:pt>
                <c:pt idx="35">
                  <c:v>1261739</c:v>
                </c:pt>
                <c:pt idx="36">
                  <c:v>1315339</c:v>
                </c:pt>
                <c:pt idx="37">
                  <c:v>1372654</c:v>
                </c:pt>
                <c:pt idx="38">
                  <c:v>1341684</c:v>
                </c:pt>
                <c:pt idx="39">
                  <c:v>1327698</c:v>
                </c:pt>
                <c:pt idx="40">
                  <c:v>1351699</c:v>
                </c:pt>
                <c:pt idx="41">
                  <c:v>1356036</c:v>
                </c:pt>
                <c:pt idx="42">
                  <c:v>1431081</c:v>
                </c:pt>
                <c:pt idx="43">
                  <c:v>1490674</c:v>
                </c:pt>
                <c:pt idx="44">
                  <c:v>1493523</c:v>
                </c:pt>
                <c:pt idx="45">
                  <c:v>1505407</c:v>
                </c:pt>
                <c:pt idx="46">
                  <c:v>1562547</c:v>
                </c:pt>
                <c:pt idx="47">
                  <c:v>1537990</c:v>
                </c:pt>
                <c:pt idx="48">
                  <c:v>1554013</c:v>
                </c:pt>
                <c:pt idx="49">
                  <c:v>1586097</c:v>
                </c:pt>
                <c:pt idx="50">
                  <c:v>1561603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7-4D21-A404-56DAF5A9E69A}"/>
            </c:ext>
          </c:extLst>
        </c:ser>
        <c:ser>
          <c:idx val="1"/>
          <c:order val="1"/>
          <c:tx>
            <c:strRef>
              <c:f>Sheet7!$G$3</c:f>
              <c:strCache>
                <c:ptCount val="1"/>
                <c:pt idx="0">
                  <c:v>Manual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Sheet7!$G$4:$G$54</c:f>
              <c:numCache>
                <c:formatCode>#,##0</c:formatCode>
                <c:ptCount val="51"/>
                <c:pt idx="0">
                  <c:v>44711</c:v>
                </c:pt>
                <c:pt idx="1">
                  <c:v>117314</c:v>
                </c:pt>
                <c:pt idx="2">
                  <c:v>169825</c:v>
                </c:pt>
                <c:pt idx="3">
                  <c:v>172484</c:v>
                </c:pt>
                <c:pt idx="4">
                  <c:v>179693</c:v>
                </c:pt>
                <c:pt idx="5">
                  <c:v>243922</c:v>
                </c:pt>
                <c:pt idx="6">
                  <c:v>288565</c:v>
                </c:pt>
                <c:pt idx="7">
                  <c:v>353538</c:v>
                </c:pt>
                <c:pt idx="8">
                  <c:v>371964</c:v>
                </c:pt>
                <c:pt idx="9">
                  <c:v>469606</c:v>
                </c:pt>
                <c:pt idx="10">
                  <c:v>507387</c:v>
                </c:pt>
                <c:pt idx="11">
                  <c:v>527964</c:v>
                </c:pt>
                <c:pt idx="12">
                  <c:v>555637</c:v>
                </c:pt>
                <c:pt idx="13">
                  <c:v>569624</c:v>
                </c:pt>
                <c:pt idx="14">
                  <c:v>670972</c:v>
                </c:pt>
                <c:pt idx="15">
                  <c:v>696365</c:v>
                </c:pt>
                <c:pt idx="16">
                  <c:v>776363</c:v>
                </c:pt>
                <c:pt idx="17">
                  <c:v>815165</c:v>
                </c:pt>
                <c:pt idx="18">
                  <c:v>823557</c:v>
                </c:pt>
                <c:pt idx="19">
                  <c:v>836380</c:v>
                </c:pt>
                <c:pt idx="20">
                  <c:v>935872</c:v>
                </c:pt>
                <c:pt idx="21">
                  <c:v>977183</c:v>
                </c:pt>
                <c:pt idx="22">
                  <c:v>1070240</c:v>
                </c:pt>
                <c:pt idx="23">
                  <c:v>1115443</c:v>
                </c:pt>
                <c:pt idx="24">
                  <c:v>1173562</c:v>
                </c:pt>
                <c:pt idx="25">
                  <c:v>1163127</c:v>
                </c:pt>
                <c:pt idx="26">
                  <c:v>1268918</c:v>
                </c:pt>
                <c:pt idx="27">
                  <c:v>1291747</c:v>
                </c:pt>
                <c:pt idx="28">
                  <c:v>1357111</c:v>
                </c:pt>
                <c:pt idx="29">
                  <c:v>1433016</c:v>
                </c:pt>
                <c:pt idx="30">
                  <c:v>1476380</c:v>
                </c:pt>
                <c:pt idx="31">
                  <c:v>1592271</c:v>
                </c:pt>
                <c:pt idx="32">
                  <c:v>1608112</c:v>
                </c:pt>
                <c:pt idx="33">
                  <c:v>1666434</c:v>
                </c:pt>
                <c:pt idx="34">
                  <c:v>1651834</c:v>
                </c:pt>
                <c:pt idx="35">
                  <c:v>1731061</c:v>
                </c:pt>
                <c:pt idx="36">
                  <c:v>1770650</c:v>
                </c:pt>
                <c:pt idx="37">
                  <c:v>1807582</c:v>
                </c:pt>
                <c:pt idx="38">
                  <c:v>1809868</c:v>
                </c:pt>
                <c:pt idx="39">
                  <c:v>1846363</c:v>
                </c:pt>
                <c:pt idx="40">
                  <c:v>1873086</c:v>
                </c:pt>
                <c:pt idx="41">
                  <c:v>1867335</c:v>
                </c:pt>
                <c:pt idx="42">
                  <c:v>1876546</c:v>
                </c:pt>
                <c:pt idx="43">
                  <c:v>1875251</c:v>
                </c:pt>
                <c:pt idx="44">
                  <c:v>1897604</c:v>
                </c:pt>
                <c:pt idx="45">
                  <c:v>1964917</c:v>
                </c:pt>
                <c:pt idx="46">
                  <c:v>2034661</c:v>
                </c:pt>
                <c:pt idx="47">
                  <c:v>2093415</c:v>
                </c:pt>
                <c:pt idx="48">
                  <c:v>2160494</c:v>
                </c:pt>
                <c:pt idx="49">
                  <c:v>2195666</c:v>
                </c:pt>
                <c:pt idx="50">
                  <c:v>2235152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47-4D21-A404-56DAF5A9E69A}"/>
            </c:ext>
          </c:extLst>
        </c:ser>
        <c:ser>
          <c:idx val="2"/>
          <c:order val="2"/>
          <c:tx>
            <c:strRef>
              <c:f>Sheet7!$H$3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Sheet7!$H$4:$H$54</c:f>
              <c:numCache>
                <c:formatCode>#,##0</c:formatCode>
                <c:ptCount val="51"/>
                <c:pt idx="0">
                  <c:v>77718</c:v>
                </c:pt>
                <c:pt idx="1">
                  <c:v>217629</c:v>
                </c:pt>
                <c:pt idx="2">
                  <c:v>323229</c:v>
                </c:pt>
                <c:pt idx="3">
                  <c:v>306968</c:v>
                </c:pt>
                <c:pt idx="4">
                  <c:v>370069</c:v>
                </c:pt>
                <c:pt idx="5">
                  <c:v>419062</c:v>
                </c:pt>
                <c:pt idx="6">
                  <c:v>474411</c:v>
                </c:pt>
                <c:pt idx="7">
                  <c:v>567946</c:v>
                </c:pt>
                <c:pt idx="8">
                  <c:v>569729</c:v>
                </c:pt>
                <c:pt idx="9">
                  <c:v>686492</c:v>
                </c:pt>
                <c:pt idx="10">
                  <c:v>770110</c:v>
                </c:pt>
                <c:pt idx="11">
                  <c:v>849448</c:v>
                </c:pt>
                <c:pt idx="12">
                  <c:v>880548</c:v>
                </c:pt>
                <c:pt idx="13">
                  <c:v>925505</c:v>
                </c:pt>
                <c:pt idx="14">
                  <c:v>1073578</c:v>
                </c:pt>
                <c:pt idx="15">
                  <c:v>1123587</c:v>
                </c:pt>
                <c:pt idx="16">
                  <c:v>1243473</c:v>
                </c:pt>
                <c:pt idx="17">
                  <c:v>1357387</c:v>
                </c:pt>
                <c:pt idx="18">
                  <c:v>1394368</c:v>
                </c:pt>
                <c:pt idx="19">
                  <c:v>1432134</c:v>
                </c:pt>
                <c:pt idx="20">
                  <c:v>1524685</c:v>
                </c:pt>
                <c:pt idx="21">
                  <c:v>1682760</c:v>
                </c:pt>
                <c:pt idx="22">
                  <c:v>1781663</c:v>
                </c:pt>
                <c:pt idx="23">
                  <c:v>1883099</c:v>
                </c:pt>
                <c:pt idx="24">
                  <c:v>1967760</c:v>
                </c:pt>
                <c:pt idx="25">
                  <c:v>1994495</c:v>
                </c:pt>
                <c:pt idx="26">
                  <c:v>2136684</c:v>
                </c:pt>
                <c:pt idx="27">
                  <c:v>2161869</c:v>
                </c:pt>
                <c:pt idx="28">
                  <c:v>2279196</c:v>
                </c:pt>
                <c:pt idx="29">
                  <c:v>2449694</c:v>
                </c:pt>
                <c:pt idx="30">
                  <c:v>2540042</c:v>
                </c:pt>
                <c:pt idx="31">
                  <c:v>2675655</c:v>
                </c:pt>
                <c:pt idx="32">
                  <c:v>2776841</c:v>
                </c:pt>
                <c:pt idx="33">
                  <c:v>2876694</c:v>
                </c:pt>
                <c:pt idx="34">
                  <c:v>2876124</c:v>
                </c:pt>
                <c:pt idx="35">
                  <c:v>2992800</c:v>
                </c:pt>
                <c:pt idx="36">
                  <c:v>3085989</c:v>
                </c:pt>
                <c:pt idx="37">
                  <c:v>3180236</c:v>
                </c:pt>
                <c:pt idx="38">
                  <c:v>3151552</c:v>
                </c:pt>
                <c:pt idx="39">
                  <c:v>3174061</c:v>
                </c:pt>
                <c:pt idx="40">
                  <c:v>3224785</c:v>
                </c:pt>
                <c:pt idx="41">
                  <c:v>3223371</c:v>
                </c:pt>
                <c:pt idx="42">
                  <c:v>3307627</c:v>
                </c:pt>
                <c:pt idx="43">
                  <c:v>3365925</c:v>
                </c:pt>
                <c:pt idx="44">
                  <c:v>3391127</c:v>
                </c:pt>
                <c:pt idx="45">
                  <c:v>3470324</c:v>
                </c:pt>
                <c:pt idx="46">
                  <c:v>3597208</c:v>
                </c:pt>
                <c:pt idx="47">
                  <c:v>3631405</c:v>
                </c:pt>
                <c:pt idx="48">
                  <c:v>3714507</c:v>
                </c:pt>
                <c:pt idx="49">
                  <c:v>3781763</c:v>
                </c:pt>
                <c:pt idx="50">
                  <c:v>3796755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47-4D21-A404-56DAF5A9E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029424"/>
        <c:axId val="1765040944"/>
      </c:lineChart>
      <c:catAx>
        <c:axId val="1765029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40944"/>
        <c:crosses val="autoZero"/>
        <c:auto val="1"/>
        <c:lblAlgn val="ctr"/>
        <c:lblOffset val="100"/>
        <c:noMultiLvlLbl val="0"/>
      </c:catAx>
      <c:valAx>
        <c:axId val="176504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2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Breakup</a:t>
            </a:r>
            <a:r>
              <a:rPr lang="en-IN" baseline="0"/>
              <a:t> of Returns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BB-42B3-AB15-BBF86BBA748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BB-42B3-AB15-BBF86BBA7487}"/>
              </c:ext>
            </c:extLst>
          </c:dPt>
          <c:cat>
            <c:strRef>
              <c:f>'Sample data'!$N$1:$O$1</c:f>
              <c:strCache>
                <c:ptCount val="2"/>
                <c:pt idx="0">
                  <c:v>Algo</c:v>
                </c:pt>
                <c:pt idx="1">
                  <c:v>Manual</c:v>
                </c:pt>
              </c:strCache>
            </c:strRef>
          </c:cat>
          <c:val>
            <c:numRef>
              <c:f>'Sample data'!$N$2:$O$2</c:f>
              <c:numCache>
                <c:formatCode>_(* #,##0_);_(* \(#,##0\);_(* "-"??_);_(@_)</c:formatCode>
                <c:ptCount val="2"/>
                <c:pt idx="0">
                  <c:v>1561603</c:v>
                </c:pt>
                <c:pt idx="1">
                  <c:v>2235152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4-442F-B5BA-F27A46F70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2.xml"/><Relationship Id="rId3" Type="http://schemas.openxmlformats.org/officeDocument/2006/relationships/image" Target="../media/image3.jpeg"/><Relationship Id="rId7" Type="http://schemas.openxmlformats.org/officeDocument/2006/relationships/image" Target="../media/image7.svg"/><Relationship Id="rId12" Type="http://schemas.openxmlformats.org/officeDocument/2006/relationships/chart" Target="../charts/chart1.xml"/><Relationship Id="rId17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chart" Target="../charts/chart5.xml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svg"/><Relationship Id="rId15" Type="http://schemas.openxmlformats.org/officeDocument/2006/relationships/chart" Target="../charts/chart4.xml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129540</xdr:rowOff>
    </xdr:from>
    <xdr:to>
      <xdr:col>21</xdr:col>
      <xdr:colOff>586740</xdr:colOff>
      <xdr:row>2</xdr:row>
      <xdr:rowOff>144780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6940E20-2286-4FA0-BC66-81B43322663E}"/>
            </a:ext>
          </a:extLst>
        </xdr:cNvPr>
        <xdr:cNvSpPr/>
      </xdr:nvSpPr>
      <xdr:spPr>
        <a:xfrm>
          <a:off x="1409700" y="129540"/>
          <a:ext cx="11978640" cy="381000"/>
        </a:xfrm>
        <a:prstGeom prst="roundRect">
          <a:avLst>
            <a:gd name="adj" fmla="val 8046"/>
          </a:avLst>
        </a:prstGeom>
        <a:gradFill flip="none" rotWithShape="1">
          <a:gsLst>
            <a:gs pos="0">
              <a:srgbClr val="FFFF00"/>
            </a:gs>
            <a:gs pos="48000">
              <a:srgbClr val="7030A0"/>
            </a:gs>
            <a:gs pos="59000">
              <a:srgbClr val="7030A0"/>
            </a:gs>
            <a:gs pos="100000">
              <a:srgbClr val="FFFF00"/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chemeClr val="bg1"/>
              </a:solidFill>
            </a:rPr>
            <a:t>Ajinkya's Trading Dashboard</a:t>
          </a:r>
        </a:p>
      </xdr:txBody>
    </xdr:sp>
    <xdr:clientData/>
  </xdr:twoCellAnchor>
  <xdr:twoCellAnchor>
    <xdr:from>
      <xdr:col>0</xdr:col>
      <xdr:colOff>15239</xdr:colOff>
      <xdr:row>0</xdr:row>
      <xdr:rowOff>76200</xdr:rowOff>
    </xdr:from>
    <xdr:to>
      <xdr:col>24</xdr:col>
      <xdr:colOff>167640</xdr:colOff>
      <xdr:row>27</xdr:row>
      <xdr:rowOff>160020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42FF81D-5266-478D-8803-BAF60AB9DDF7}"/>
            </a:ext>
          </a:extLst>
        </xdr:cNvPr>
        <xdr:cNvGrpSpPr/>
      </xdr:nvGrpSpPr>
      <xdr:grpSpPr>
        <a:xfrm>
          <a:off x="15239" y="76200"/>
          <a:ext cx="14782801" cy="5021580"/>
          <a:chOff x="15239" y="76200"/>
          <a:chExt cx="14782801" cy="5021580"/>
        </a:xfrm>
      </xdr:grpSpPr>
      <xdr:pic>
        <xdr:nvPicPr>
          <xdr:cNvPr id="4" name="Picture 3" descr="India Becomes 4th Largest Stock Market ...">
            <a:extLst>
              <a:ext uri="{FF2B5EF4-FFF2-40B4-BE49-F238E27FC236}">
                <a16:creationId xmlns:a16="http://schemas.microsoft.com/office/drawing/2014/main" id="{3799493A-6EA8-309D-523F-AF4CDC1B288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alphaModFix amt="1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239" y="76200"/>
            <a:ext cx="5148697" cy="48920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4" descr="Stock Market Explained: NYSE, NASDAQ, S ...">
            <a:extLst>
              <a:ext uri="{FF2B5EF4-FFF2-40B4-BE49-F238E27FC236}">
                <a16:creationId xmlns:a16="http://schemas.microsoft.com/office/drawing/2014/main" id="{EB3082CD-2F74-2127-743A-5247D589E86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alphaModFix amt="1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993880" y="106680"/>
            <a:ext cx="2804160" cy="4991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Picture 5" descr="India market cap jumps 9.4% in December ...">
            <a:extLst>
              <a:ext uri="{FF2B5EF4-FFF2-40B4-BE49-F238E27FC236}">
                <a16:creationId xmlns:a16="http://schemas.microsoft.com/office/drawing/2014/main" id="{B709043B-7337-CB0E-D308-A8E5698F6F8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alphaModFix amt="16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58740" y="502920"/>
            <a:ext cx="6902322" cy="45948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518160</xdr:colOff>
      <xdr:row>27</xdr:row>
      <xdr:rowOff>7620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B269476-7016-4DA9-9797-4ED28F359786}"/>
            </a:ext>
          </a:extLst>
        </xdr:cNvPr>
        <xdr:cNvSpPr/>
      </xdr:nvSpPr>
      <xdr:spPr>
        <a:xfrm>
          <a:off x="0" y="0"/>
          <a:ext cx="1127760" cy="4945380"/>
        </a:xfrm>
        <a:prstGeom prst="roundRect">
          <a:avLst>
            <a:gd name="adj" fmla="val 8587"/>
          </a:avLst>
        </a:prstGeom>
        <a:solidFill>
          <a:schemeClr val="accent4">
            <a:alpha val="42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190500</xdr:colOff>
      <xdr:row>3</xdr:row>
      <xdr:rowOff>45720</xdr:rowOff>
    </xdr:from>
    <xdr:to>
      <xdr:col>4</xdr:col>
      <xdr:colOff>144780</xdr:colOff>
      <xdr:row>7</xdr:row>
      <xdr:rowOff>7620</xdr:rowOff>
    </xdr:to>
    <xdr:sp macro="" textlink="Pivots!E35">
      <xdr:nvSpPr>
        <xdr:cNvPr id="8" name="Rectangle: Rounded Corners 7">
          <a:extLst>
            <a:ext uri="{FF2B5EF4-FFF2-40B4-BE49-F238E27FC236}">
              <a16:creationId xmlns:a16="http://schemas.microsoft.com/office/drawing/2014/main" id="{0FC9C8F2-8129-4DB5-9F1E-7FE85A0CA875}"/>
            </a:ext>
          </a:extLst>
        </xdr:cNvPr>
        <xdr:cNvSpPr/>
      </xdr:nvSpPr>
      <xdr:spPr>
        <a:xfrm>
          <a:off x="1409700" y="594360"/>
          <a:ext cx="1173480" cy="693420"/>
        </a:xfrm>
        <a:prstGeom prst="roundRect">
          <a:avLst>
            <a:gd name="adj" fmla="val 8587"/>
          </a:avLst>
        </a:prstGeom>
        <a:solidFill>
          <a:srgbClr val="7030A0">
            <a:alpha val="42000"/>
          </a:srgbClr>
        </a:solidFill>
        <a:ln>
          <a:noFill/>
        </a:ln>
        <a:effectLst>
          <a:glow rad="228600">
            <a:schemeClr val="accent5">
              <a:satMod val="175000"/>
              <a:alpha val="12000"/>
            </a:schemeClr>
          </a:glow>
        </a:effectLst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t>Total P&amp;L</a:t>
          </a:r>
          <a:fld id="{C643CBC5-5DFE-4163-ACB5-AD6EBE88EEEC}" type="TxLink"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 3,796,755 </a:t>
          </a:fld>
          <a:endParaRPr lang="en-IN" sz="1400" b="0" i="0" u="none" strike="noStrike">
            <a:solidFill>
              <a:schemeClr val="bg1">
                <a:lumMod val="9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121920</xdr:colOff>
      <xdr:row>9</xdr:row>
      <xdr:rowOff>160020</xdr:rowOff>
    </xdr:from>
    <xdr:to>
      <xdr:col>1</xdr:col>
      <xdr:colOff>243840</xdr:colOff>
      <xdr:row>13</xdr:row>
      <xdr:rowOff>160020</xdr:rowOff>
    </xdr:to>
    <xdr:pic>
      <xdr:nvPicPr>
        <xdr:cNvPr id="9" name="Graphic 8" descr="Home with solid fill">
          <a:extLst>
            <a:ext uri="{FF2B5EF4-FFF2-40B4-BE49-F238E27FC236}">
              <a16:creationId xmlns:a16="http://schemas.microsoft.com/office/drawing/2014/main" id="{FDFAD1B5-9F1C-4E7D-BBA7-3E2E689E2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21920" y="1805940"/>
          <a:ext cx="731520" cy="73152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14</xdr:row>
      <xdr:rowOff>99060</xdr:rowOff>
    </xdr:from>
    <xdr:to>
      <xdr:col>1</xdr:col>
      <xdr:colOff>182880</xdr:colOff>
      <xdr:row>18</xdr:row>
      <xdr:rowOff>0</xdr:rowOff>
    </xdr:to>
    <xdr:pic>
      <xdr:nvPicPr>
        <xdr:cNvPr id="10" name="Graphic 9" descr="Daily calendar with solid fill">
          <a:extLst>
            <a:ext uri="{FF2B5EF4-FFF2-40B4-BE49-F238E27FC236}">
              <a16:creationId xmlns:a16="http://schemas.microsoft.com/office/drawing/2014/main" id="{7F9FCE8B-37F6-43B8-8126-4208F655D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60020" y="2659380"/>
          <a:ext cx="632460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18</xdr:row>
      <xdr:rowOff>137160</xdr:rowOff>
    </xdr:from>
    <xdr:to>
      <xdr:col>1</xdr:col>
      <xdr:colOff>220980</xdr:colOff>
      <xdr:row>22</xdr:row>
      <xdr:rowOff>83820</xdr:rowOff>
    </xdr:to>
    <xdr:pic>
      <xdr:nvPicPr>
        <xdr:cNvPr id="11" name="Graphic 10" descr="Upward trend with solid fill">
          <a:extLst>
            <a:ext uri="{FF2B5EF4-FFF2-40B4-BE49-F238E27FC236}">
              <a16:creationId xmlns:a16="http://schemas.microsoft.com/office/drawing/2014/main" id="{0F28AF1B-B758-488D-8B29-0528DC76B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52400" y="3429000"/>
          <a:ext cx="678180" cy="678180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22</xdr:row>
      <xdr:rowOff>175260</xdr:rowOff>
    </xdr:from>
    <xdr:to>
      <xdr:col>1</xdr:col>
      <xdr:colOff>259080</xdr:colOff>
      <xdr:row>26</xdr:row>
      <xdr:rowOff>106680</xdr:rowOff>
    </xdr:to>
    <xdr:pic>
      <xdr:nvPicPr>
        <xdr:cNvPr id="12" name="Graphic 11" descr="Open book with solid fill">
          <a:extLst>
            <a:ext uri="{FF2B5EF4-FFF2-40B4-BE49-F238E27FC236}">
              <a16:creationId xmlns:a16="http://schemas.microsoft.com/office/drawing/2014/main" id="{703D3FE2-25D4-44B0-803D-E157E2597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05740" y="4198620"/>
          <a:ext cx="662940" cy="662940"/>
        </a:xfrm>
        <a:prstGeom prst="rect">
          <a:avLst/>
        </a:prstGeom>
      </xdr:spPr>
    </xdr:pic>
    <xdr:clientData/>
  </xdr:twoCellAnchor>
  <xdr:twoCellAnchor>
    <xdr:from>
      <xdr:col>4</xdr:col>
      <xdr:colOff>396240</xdr:colOff>
      <xdr:row>3</xdr:row>
      <xdr:rowOff>60960</xdr:rowOff>
    </xdr:from>
    <xdr:to>
      <xdr:col>5</xdr:col>
      <xdr:colOff>510540</xdr:colOff>
      <xdr:row>6</xdr:row>
      <xdr:rowOff>167640</xdr:rowOff>
    </xdr:to>
    <xdr:sp macro="" textlink="Pivots!E36">
      <xdr:nvSpPr>
        <xdr:cNvPr id="13" name="Rectangle: Rounded Corners 12">
          <a:extLst>
            <a:ext uri="{FF2B5EF4-FFF2-40B4-BE49-F238E27FC236}">
              <a16:creationId xmlns:a16="http://schemas.microsoft.com/office/drawing/2014/main" id="{3D59D73F-3D72-4B21-A740-CB8CE39AD22C}"/>
            </a:ext>
          </a:extLst>
        </xdr:cNvPr>
        <xdr:cNvSpPr/>
      </xdr:nvSpPr>
      <xdr:spPr>
        <a:xfrm>
          <a:off x="2834640" y="609600"/>
          <a:ext cx="723900" cy="655320"/>
        </a:xfrm>
        <a:prstGeom prst="roundRect">
          <a:avLst>
            <a:gd name="adj" fmla="val 8587"/>
          </a:avLst>
        </a:prstGeom>
        <a:solidFill>
          <a:srgbClr val="7030A0">
            <a:alpha val="42000"/>
          </a:srgbClr>
        </a:solidFill>
        <a:ln>
          <a:noFill/>
        </a:ln>
        <a:effectLst>
          <a:glow rad="228600">
            <a:schemeClr val="accent5">
              <a:satMod val="175000"/>
              <a:alpha val="12000"/>
            </a:schemeClr>
          </a:glow>
        </a:effectLst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t>ROI</a:t>
          </a:r>
        </a:p>
        <a:p>
          <a:pPr marL="0" indent="0" algn="l"/>
          <a:fld id="{8DD476E2-D798-470F-B711-171E805960B8}" type="TxLink"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38%</a:t>
          </a:fld>
          <a:endParaRPr lang="en-IN" sz="1400" b="0" i="0" u="none" strike="noStrike">
            <a:solidFill>
              <a:schemeClr val="bg1">
                <a:lumMod val="9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0</xdr:colOff>
      <xdr:row>3</xdr:row>
      <xdr:rowOff>76200</xdr:rowOff>
    </xdr:from>
    <xdr:to>
      <xdr:col>7</xdr:col>
      <xdr:colOff>121920</xdr:colOff>
      <xdr:row>7</xdr:row>
      <xdr:rowOff>0</xdr:rowOff>
    </xdr:to>
    <xdr:sp macro="" textlink="Pivots!E37">
      <xdr:nvSpPr>
        <xdr:cNvPr id="14" name="Rectangle: Rounded Corners 13">
          <a:extLst>
            <a:ext uri="{FF2B5EF4-FFF2-40B4-BE49-F238E27FC236}">
              <a16:creationId xmlns:a16="http://schemas.microsoft.com/office/drawing/2014/main" id="{DD51011F-E811-443D-BF8C-4678B7633E0B}"/>
            </a:ext>
          </a:extLst>
        </xdr:cNvPr>
        <xdr:cNvSpPr/>
      </xdr:nvSpPr>
      <xdr:spPr>
        <a:xfrm>
          <a:off x="3657600" y="624840"/>
          <a:ext cx="731520" cy="655320"/>
        </a:xfrm>
        <a:prstGeom prst="roundRect">
          <a:avLst>
            <a:gd name="adj" fmla="val 8587"/>
          </a:avLst>
        </a:prstGeom>
        <a:solidFill>
          <a:srgbClr val="7030A0">
            <a:alpha val="42000"/>
          </a:srgbClr>
        </a:solidFill>
        <a:ln>
          <a:noFill/>
        </a:ln>
        <a:effectLst>
          <a:glow rad="228600">
            <a:schemeClr val="accent5">
              <a:satMod val="175000"/>
              <a:alpha val="12000"/>
            </a:schemeClr>
          </a:glow>
        </a:effectLst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t>XIRR</a:t>
          </a:r>
        </a:p>
        <a:p>
          <a:pPr marL="0" indent="0" algn="l"/>
          <a:fld id="{BD0170A9-8ECE-4287-B038-23740E121B93}" type="TxLink"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marL="0" indent="0" algn="l"/>
            <a:t>45%</a:t>
          </a:fld>
          <a:endParaRPr lang="en-IN" sz="1400" b="0" i="0" u="none" strike="noStrike">
            <a:solidFill>
              <a:schemeClr val="bg1">
                <a:lumMod val="9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190499</xdr:colOff>
      <xdr:row>15</xdr:row>
      <xdr:rowOff>137160</xdr:rowOff>
    </xdr:from>
    <xdr:to>
      <xdr:col>9</xdr:col>
      <xdr:colOff>457200</xdr:colOff>
      <xdr:row>26</xdr:row>
      <xdr:rowOff>129540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C0F8B7F-638C-4A8E-A0E9-4D2D88DEA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266699</xdr:colOff>
      <xdr:row>4</xdr:row>
      <xdr:rowOff>137160</xdr:rowOff>
    </xdr:from>
    <xdr:to>
      <xdr:col>12</xdr:col>
      <xdr:colOff>472440</xdr:colOff>
      <xdr:row>14</xdr:row>
      <xdr:rowOff>167640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F3B8D33-4E65-4092-8273-153B4FB48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38099</xdr:colOff>
      <xdr:row>15</xdr:row>
      <xdr:rowOff>137160</xdr:rowOff>
    </xdr:from>
    <xdr:to>
      <xdr:col>15</xdr:col>
      <xdr:colOff>297180</xdr:colOff>
      <xdr:row>26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E312035-3A61-4A1D-BDB5-B3C11DAAE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541019</xdr:colOff>
      <xdr:row>6</xdr:row>
      <xdr:rowOff>175260</xdr:rowOff>
    </xdr:from>
    <xdr:to>
      <xdr:col>8</xdr:col>
      <xdr:colOff>0</xdr:colOff>
      <xdr:row>15</xdr:row>
      <xdr:rowOff>121920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AB0E65E-ACFE-4DF8-9D0E-28C271B83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220979</xdr:colOff>
      <xdr:row>3</xdr:row>
      <xdr:rowOff>144780</xdr:rowOff>
    </xdr:from>
    <xdr:to>
      <xdr:col>17</xdr:col>
      <xdr:colOff>281939</xdr:colOff>
      <xdr:row>15</xdr:row>
      <xdr:rowOff>60960</xdr:rowOff>
    </xdr:to>
    <xdr:sp macro="" textlink="'Sample data'!N2">
      <xdr:nvSpPr>
        <xdr:cNvPr id="19" name="Rectangle: Rounded Corners 18">
          <a:extLst>
            <a:ext uri="{FF2B5EF4-FFF2-40B4-BE49-F238E27FC236}">
              <a16:creationId xmlns:a16="http://schemas.microsoft.com/office/drawing/2014/main" id="{F6B79775-CA64-4DAA-BED0-1342C612C325}"/>
            </a:ext>
          </a:extLst>
        </xdr:cNvPr>
        <xdr:cNvSpPr/>
      </xdr:nvSpPr>
      <xdr:spPr>
        <a:xfrm>
          <a:off x="9364979" y="693420"/>
          <a:ext cx="1280160" cy="2110740"/>
        </a:xfrm>
        <a:prstGeom prst="roundRect">
          <a:avLst>
            <a:gd name="adj" fmla="val 8587"/>
          </a:avLst>
        </a:prstGeom>
        <a:solidFill>
          <a:schemeClr val="accent4">
            <a:alpha val="42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en-US" sz="1400" b="0" i="0" u="none" strike="noStrike">
            <a:solidFill>
              <a:schemeClr val="bg1">
                <a:lumMod val="95000"/>
              </a:schemeClr>
            </a:solidFill>
            <a:latin typeface="Calibri"/>
            <a:ea typeface="Calibri"/>
            <a:cs typeface="Calibri"/>
          </a:endParaRPr>
        </a:p>
        <a:p>
          <a:pPr marL="0" indent="0" algn="ctr"/>
          <a:fld id="{01F468A6-AFDC-4770-B810-83C4901788AE}" type="TxLink"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 1,561,603 </a:t>
          </a:fld>
          <a:endParaRPr lang="en-IN" sz="1400" b="0" i="0" u="none" strike="noStrike">
            <a:solidFill>
              <a:schemeClr val="bg1">
                <a:lumMod val="9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373379</xdr:colOff>
      <xdr:row>3</xdr:row>
      <xdr:rowOff>129540</xdr:rowOff>
    </xdr:from>
    <xdr:to>
      <xdr:col>19</xdr:col>
      <xdr:colOff>434339</xdr:colOff>
      <xdr:row>15</xdr:row>
      <xdr:rowOff>45720</xdr:rowOff>
    </xdr:to>
    <xdr:sp macro="" textlink="'Sample data'!O2">
      <xdr:nvSpPr>
        <xdr:cNvPr id="20" name="Rectangle: Rounded Corners 19">
          <a:extLst>
            <a:ext uri="{FF2B5EF4-FFF2-40B4-BE49-F238E27FC236}">
              <a16:creationId xmlns:a16="http://schemas.microsoft.com/office/drawing/2014/main" id="{2DD077ED-66F4-484F-BDDB-047F688E05E3}"/>
            </a:ext>
          </a:extLst>
        </xdr:cNvPr>
        <xdr:cNvSpPr/>
      </xdr:nvSpPr>
      <xdr:spPr>
        <a:xfrm>
          <a:off x="10736579" y="678180"/>
          <a:ext cx="1280160" cy="2110740"/>
        </a:xfrm>
        <a:prstGeom prst="roundRect">
          <a:avLst>
            <a:gd name="adj" fmla="val 8587"/>
          </a:avLst>
        </a:prstGeom>
        <a:solidFill>
          <a:srgbClr val="00B0F0">
            <a:alpha val="42000"/>
          </a:srgb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en-US" sz="1400" b="0" i="0" u="none" strike="noStrike">
            <a:solidFill>
              <a:schemeClr val="bg1">
                <a:lumMod val="95000"/>
              </a:schemeClr>
            </a:solidFill>
            <a:latin typeface="Calibri"/>
            <a:ea typeface="Calibri"/>
            <a:cs typeface="Calibri"/>
          </a:endParaRPr>
        </a:p>
        <a:p>
          <a:pPr marL="0" indent="0" algn="ctr"/>
          <a:fld id="{4818DB40-FAD6-459A-9A3B-09673B071C69}" type="TxLink"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 2,235,152 </a:t>
          </a:fld>
          <a:endParaRPr lang="en-IN" sz="1400" b="0" i="0" u="none" strike="noStrike">
            <a:solidFill>
              <a:schemeClr val="bg1">
                <a:lumMod val="9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53340</xdr:colOff>
      <xdr:row>3</xdr:row>
      <xdr:rowOff>137160</xdr:rowOff>
    </xdr:from>
    <xdr:to>
      <xdr:col>15</xdr:col>
      <xdr:colOff>114300</xdr:colOff>
      <xdr:row>15</xdr:row>
      <xdr:rowOff>53340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E0A43700-0F48-4747-AF28-4E964B056B62}"/>
            </a:ext>
          </a:extLst>
        </xdr:cNvPr>
        <xdr:cNvSpPr/>
      </xdr:nvSpPr>
      <xdr:spPr>
        <a:xfrm>
          <a:off x="7978140" y="685800"/>
          <a:ext cx="1280160" cy="2110740"/>
        </a:xfrm>
        <a:prstGeom prst="roundRect">
          <a:avLst>
            <a:gd name="adj" fmla="val 8587"/>
          </a:avLst>
        </a:prstGeom>
        <a:solidFill>
          <a:schemeClr val="accent2">
            <a:alpha val="42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t>  </a:t>
          </a:r>
        </a:p>
      </xdr:txBody>
    </xdr:sp>
    <xdr:clientData/>
  </xdr:twoCellAnchor>
  <xdr:oneCellAnchor>
    <xdr:from>
      <xdr:col>13</xdr:col>
      <xdr:colOff>266700</xdr:colOff>
      <xdr:row>3</xdr:row>
      <xdr:rowOff>175260</xdr:rowOff>
    </xdr:from>
    <xdr:ext cx="815340" cy="280205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0EE93F1-2C4D-89C8-186B-6A35A843D5A1}"/>
            </a:ext>
          </a:extLst>
        </xdr:cNvPr>
        <xdr:cNvSpPr txBox="1"/>
      </xdr:nvSpPr>
      <xdr:spPr>
        <a:xfrm>
          <a:off x="8191500" y="723900"/>
          <a:ext cx="8153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bg1"/>
              </a:solidFill>
            </a:rPr>
            <a:t>Key</a:t>
          </a:r>
          <a:r>
            <a:rPr lang="en-IN" sz="1200" b="1" baseline="0">
              <a:solidFill>
                <a:schemeClr val="bg1"/>
              </a:solidFill>
            </a:rPr>
            <a:t> stats</a:t>
          </a:r>
          <a:endParaRPr lang="en-IN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563880</xdr:colOff>
      <xdr:row>3</xdr:row>
      <xdr:rowOff>160020</xdr:rowOff>
    </xdr:from>
    <xdr:ext cx="929640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588CC70-128E-4ACB-965E-1170E961C0CE}"/>
            </a:ext>
          </a:extLst>
        </xdr:cNvPr>
        <xdr:cNvSpPr txBox="1"/>
      </xdr:nvSpPr>
      <xdr:spPr>
        <a:xfrm>
          <a:off x="10927080" y="708660"/>
          <a:ext cx="9296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bg1"/>
              </a:solidFill>
            </a:rPr>
            <a:t>Manual</a:t>
          </a:r>
        </a:p>
      </xdr:txBody>
    </xdr:sp>
    <xdr:clientData/>
  </xdr:oneCellAnchor>
  <xdr:oneCellAnchor>
    <xdr:from>
      <xdr:col>15</xdr:col>
      <xdr:colOff>601980</xdr:colOff>
      <xdr:row>3</xdr:row>
      <xdr:rowOff>160020</xdr:rowOff>
    </xdr:from>
    <xdr:ext cx="518160" cy="280205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C1A0053-24F2-4D3B-985C-F1E55F9BC5CE}"/>
            </a:ext>
          </a:extLst>
        </xdr:cNvPr>
        <xdr:cNvSpPr txBox="1"/>
      </xdr:nvSpPr>
      <xdr:spPr>
        <a:xfrm>
          <a:off x="9745980" y="708660"/>
          <a:ext cx="51816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182880</xdr:colOff>
      <xdr:row>5</xdr:row>
      <xdr:rowOff>99060</xdr:rowOff>
    </xdr:from>
    <xdr:ext cx="1318260" cy="18288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86F0720-7B8B-46BB-AFD1-1FFE49C89C01}"/>
            </a:ext>
          </a:extLst>
        </xdr:cNvPr>
        <xdr:cNvSpPr txBox="1"/>
      </xdr:nvSpPr>
      <xdr:spPr>
        <a:xfrm>
          <a:off x="8107680" y="1013460"/>
          <a:ext cx="1318260" cy="182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0" baseline="0">
              <a:solidFill>
                <a:schemeClr val="bg1"/>
              </a:solidFill>
            </a:rPr>
            <a:t>Total P&amp;L</a:t>
          </a:r>
        </a:p>
        <a:p>
          <a:endParaRPr lang="en-IN" sz="1200" b="0" baseline="0">
            <a:solidFill>
              <a:schemeClr val="bg1"/>
            </a:solidFill>
          </a:endParaRPr>
        </a:p>
        <a:p>
          <a:r>
            <a:rPr lang="en-IN" sz="1200" b="0" baseline="0">
              <a:solidFill>
                <a:schemeClr val="bg1"/>
              </a:solidFill>
            </a:rPr>
            <a:t>Avg Per Trade</a:t>
          </a:r>
        </a:p>
        <a:p>
          <a:r>
            <a:rPr lang="en-IN" sz="1200" b="0" baseline="0">
              <a:solidFill>
                <a:schemeClr val="bg1"/>
              </a:solidFill>
            </a:rPr>
            <a:t>Avg Winner</a:t>
          </a:r>
        </a:p>
        <a:p>
          <a:r>
            <a:rPr lang="en-IN" sz="1200" b="0" baseline="0">
              <a:solidFill>
                <a:schemeClr val="bg1"/>
              </a:solidFill>
            </a:rPr>
            <a:t>Avg Loser</a:t>
          </a:r>
        </a:p>
        <a:p>
          <a:endParaRPr lang="en-IN" sz="1200" b="0" baseline="0">
            <a:solidFill>
              <a:schemeClr val="bg1"/>
            </a:solidFill>
          </a:endParaRPr>
        </a:p>
        <a:p>
          <a:r>
            <a:rPr lang="en-IN" sz="1200" b="0" baseline="0">
              <a:solidFill>
                <a:schemeClr val="bg1"/>
              </a:solidFill>
            </a:rPr>
            <a:t>Accuracy</a:t>
          </a:r>
        </a:p>
        <a:p>
          <a:r>
            <a:rPr lang="en-IN" sz="1200" b="0" baseline="0">
              <a:solidFill>
                <a:schemeClr val="bg1"/>
              </a:solidFill>
            </a:rPr>
            <a:t>Risk Reward</a:t>
          </a:r>
        </a:p>
        <a:p>
          <a:r>
            <a:rPr lang="en-IN" sz="1200" b="0" baseline="0">
              <a:solidFill>
                <a:schemeClr val="bg1"/>
              </a:solidFill>
            </a:rPr>
            <a:t>Expectancy</a:t>
          </a:r>
          <a:endParaRPr lang="en-IN" sz="1200" b="0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106679</xdr:colOff>
      <xdr:row>6</xdr:row>
      <xdr:rowOff>91440</xdr:rowOff>
    </xdr:from>
    <xdr:ext cx="815340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CC1E87A-1BF8-4F87-BC9D-9C8F41A1635E}"/>
            </a:ext>
          </a:extLst>
        </xdr:cNvPr>
        <xdr:cNvSpPr txBox="1"/>
      </xdr:nvSpPr>
      <xdr:spPr>
        <a:xfrm>
          <a:off x="9860279" y="1188720"/>
          <a:ext cx="8153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426719</xdr:colOff>
      <xdr:row>7</xdr:row>
      <xdr:rowOff>152400</xdr:rowOff>
    </xdr:from>
    <xdr:ext cx="815340" cy="264560"/>
    <xdr:sp macro="" textlink="'Sample data'!N3">
      <xdr:nvSpPr>
        <xdr:cNvPr id="27" name="TextBox 26">
          <a:extLst>
            <a:ext uri="{FF2B5EF4-FFF2-40B4-BE49-F238E27FC236}">
              <a16:creationId xmlns:a16="http://schemas.microsoft.com/office/drawing/2014/main" id="{D8197C83-7126-4E88-BB43-F40C9183018C}"/>
            </a:ext>
          </a:extLst>
        </xdr:cNvPr>
        <xdr:cNvSpPr txBox="1"/>
      </xdr:nvSpPr>
      <xdr:spPr>
        <a:xfrm>
          <a:off x="9570719" y="143256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DD641BA0-8088-4BBC-88DE-27FCC6DD17B4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 6,246 </a:t>
          </a:fld>
          <a:endParaRPr lang="en-IN" sz="1200" b="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396239</xdr:colOff>
      <xdr:row>9</xdr:row>
      <xdr:rowOff>15240</xdr:rowOff>
    </xdr:from>
    <xdr:ext cx="815340" cy="264560"/>
    <xdr:sp macro="" textlink="'Sample data'!N4">
      <xdr:nvSpPr>
        <xdr:cNvPr id="28" name="TextBox 27">
          <a:extLst>
            <a:ext uri="{FF2B5EF4-FFF2-40B4-BE49-F238E27FC236}">
              <a16:creationId xmlns:a16="http://schemas.microsoft.com/office/drawing/2014/main" id="{C809D89E-0E02-4123-8F57-E966D8CD1E1F}"/>
            </a:ext>
          </a:extLst>
        </xdr:cNvPr>
        <xdr:cNvSpPr txBox="1"/>
      </xdr:nvSpPr>
      <xdr:spPr>
        <a:xfrm>
          <a:off x="9540239" y="166116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4E0A2D4-D092-4502-B54F-361096F91CF2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 16,054 </a:t>
          </a:fld>
          <a:endParaRPr lang="en-IN" sz="1200" b="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403859</xdr:colOff>
      <xdr:row>10</xdr:row>
      <xdr:rowOff>15240</xdr:rowOff>
    </xdr:from>
    <xdr:ext cx="815340" cy="264560"/>
    <xdr:sp macro="" textlink="'Sample data'!N5">
      <xdr:nvSpPr>
        <xdr:cNvPr id="29" name="TextBox 28">
          <a:extLst>
            <a:ext uri="{FF2B5EF4-FFF2-40B4-BE49-F238E27FC236}">
              <a16:creationId xmlns:a16="http://schemas.microsoft.com/office/drawing/2014/main" id="{923D7709-7B4B-43CD-97DD-BD95C7A9D3CD}"/>
            </a:ext>
          </a:extLst>
        </xdr:cNvPr>
        <xdr:cNvSpPr txBox="1"/>
      </xdr:nvSpPr>
      <xdr:spPr>
        <a:xfrm>
          <a:off x="9547859" y="184404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137C26B2-6248-45FF-BBEE-1CA144921BFF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 (10,598)</a:t>
          </a:fld>
          <a:endParaRPr lang="en-IN" sz="1200" b="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518159</xdr:colOff>
      <xdr:row>11</xdr:row>
      <xdr:rowOff>114300</xdr:rowOff>
    </xdr:from>
    <xdr:ext cx="815340" cy="264560"/>
    <xdr:sp macro="" textlink="'Sample data'!N6">
      <xdr:nvSpPr>
        <xdr:cNvPr id="30" name="TextBox 29">
          <a:extLst>
            <a:ext uri="{FF2B5EF4-FFF2-40B4-BE49-F238E27FC236}">
              <a16:creationId xmlns:a16="http://schemas.microsoft.com/office/drawing/2014/main" id="{7A2CF6C0-4FC7-4BD9-A3BF-8F8DE697094A}"/>
            </a:ext>
          </a:extLst>
        </xdr:cNvPr>
        <xdr:cNvSpPr txBox="1"/>
      </xdr:nvSpPr>
      <xdr:spPr>
        <a:xfrm>
          <a:off x="9662159" y="212598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D1E2E9DC-0A7B-47A6-B08D-82955694A1A6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63%</a:t>
          </a:fld>
          <a:endParaRPr lang="en-IN" sz="1200" b="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518159</xdr:colOff>
      <xdr:row>13</xdr:row>
      <xdr:rowOff>129540</xdr:rowOff>
    </xdr:from>
    <xdr:ext cx="815340" cy="264560"/>
    <xdr:sp macro="" textlink="'Sample data'!N8">
      <xdr:nvSpPr>
        <xdr:cNvPr id="31" name="TextBox 30">
          <a:extLst>
            <a:ext uri="{FF2B5EF4-FFF2-40B4-BE49-F238E27FC236}">
              <a16:creationId xmlns:a16="http://schemas.microsoft.com/office/drawing/2014/main" id="{417C681B-7E4F-4ACE-AD42-1FA8B7B7BDEF}"/>
            </a:ext>
          </a:extLst>
        </xdr:cNvPr>
        <xdr:cNvSpPr txBox="1"/>
      </xdr:nvSpPr>
      <xdr:spPr>
        <a:xfrm>
          <a:off x="9662159" y="250698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AC98EA1D-0220-47EE-A10C-7F90E781C411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0.59</a:t>
          </a:fld>
          <a:endParaRPr lang="en-IN" sz="1200" b="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525779</xdr:colOff>
      <xdr:row>15</xdr:row>
      <xdr:rowOff>152400</xdr:rowOff>
    </xdr:from>
    <xdr:to>
      <xdr:col>21</xdr:col>
      <xdr:colOff>594360</xdr:colOff>
      <xdr:row>27</xdr:row>
      <xdr:rowOff>30480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2755D7D-1506-4277-90D3-B898D193E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548639</xdr:colOff>
      <xdr:row>3</xdr:row>
      <xdr:rowOff>114300</xdr:rowOff>
    </xdr:from>
    <xdr:to>
      <xdr:col>22</xdr:col>
      <xdr:colOff>7621</xdr:colOff>
      <xdr:row>15</xdr:row>
      <xdr:rowOff>68580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C044CAC1-30A4-43D7-B14C-E3823C7D6CD5}"/>
            </a:ext>
          </a:extLst>
        </xdr:cNvPr>
        <xdr:cNvSpPr/>
      </xdr:nvSpPr>
      <xdr:spPr>
        <a:xfrm>
          <a:off x="12131039" y="662940"/>
          <a:ext cx="1287782" cy="2148840"/>
        </a:xfrm>
        <a:prstGeom prst="roundRect">
          <a:avLst>
            <a:gd name="adj" fmla="val 8587"/>
          </a:avLst>
        </a:prstGeom>
        <a:solidFill>
          <a:srgbClr val="00B0F0">
            <a:alpha val="42000"/>
          </a:srgb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t>  </a:t>
          </a:r>
        </a:p>
      </xdr:txBody>
    </xdr:sp>
    <xdr:clientData/>
  </xdr:twoCellAnchor>
  <xdr:oneCellAnchor>
    <xdr:from>
      <xdr:col>3</xdr:col>
      <xdr:colOff>236220</xdr:colOff>
      <xdr:row>16</xdr:row>
      <xdr:rowOff>15240</xdr:rowOff>
    </xdr:from>
    <xdr:ext cx="1242060" cy="280205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C755A06-9D80-474E-AB55-22F1E81A151D}"/>
            </a:ext>
          </a:extLst>
        </xdr:cNvPr>
        <xdr:cNvSpPr txBox="1"/>
      </xdr:nvSpPr>
      <xdr:spPr>
        <a:xfrm>
          <a:off x="2065020" y="2941320"/>
          <a:ext cx="124206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bg1"/>
              </a:solidFill>
            </a:rPr>
            <a:t>Profit</a:t>
          </a:r>
          <a:r>
            <a:rPr lang="en-IN" sz="1200" b="1" baseline="0">
              <a:solidFill>
                <a:schemeClr val="bg1"/>
              </a:solidFill>
            </a:rPr>
            <a:t> Trend</a:t>
          </a:r>
          <a:endParaRPr lang="en-IN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</xdr:col>
      <xdr:colOff>563878</xdr:colOff>
      <xdr:row>7</xdr:row>
      <xdr:rowOff>91440</xdr:rowOff>
    </xdr:from>
    <xdr:to>
      <xdr:col>4</xdr:col>
      <xdr:colOff>373380</xdr:colOff>
      <xdr:row>14</xdr:row>
      <xdr:rowOff>45720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6" name="Date 1">
              <a:extLst>
                <a:ext uri="{FF2B5EF4-FFF2-40B4-BE49-F238E27FC236}">
                  <a16:creationId xmlns:a16="http://schemas.microsoft.com/office/drawing/2014/main" id="{4C546DB0-0C5E-45AC-A742-619F09F2376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3478" y="1371600"/>
              <a:ext cx="1638302" cy="1234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oneCellAnchor>
    <xdr:from>
      <xdr:col>20</xdr:col>
      <xdr:colOff>182880</xdr:colOff>
      <xdr:row>4</xdr:row>
      <xdr:rowOff>0</xdr:rowOff>
    </xdr:from>
    <xdr:ext cx="929640" cy="280205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4F8F682-A9AC-4F04-A638-79CD36B80D5B}"/>
            </a:ext>
          </a:extLst>
        </xdr:cNvPr>
        <xdr:cNvSpPr txBox="1"/>
      </xdr:nvSpPr>
      <xdr:spPr>
        <a:xfrm>
          <a:off x="12374880" y="731520"/>
          <a:ext cx="9296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bg1"/>
              </a:solidFill>
            </a:rPr>
            <a:t>Other</a:t>
          </a:r>
          <a:r>
            <a:rPr lang="en-IN" sz="1200" b="1" baseline="0">
              <a:solidFill>
                <a:schemeClr val="bg1"/>
              </a:solidFill>
            </a:rPr>
            <a:t> Stats</a:t>
          </a:r>
          <a:endParaRPr lang="en-IN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548640</xdr:colOff>
      <xdr:row>3</xdr:row>
      <xdr:rowOff>167640</xdr:rowOff>
    </xdr:from>
    <xdr:ext cx="929640" cy="280205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DA90034-E557-43FC-98A5-55891A99BD74}"/>
            </a:ext>
          </a:extLst>
        </xdr:cNvPr>
        <xdr:cNvSpPr txBox="1"/>
      </xdr:nvSpPr>
      <xdr:spPr>
        <a:xfrm>
          <a:off x="9692640" y="716280"/>
          <a:ext cx="9296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bg1"/>
              </a:solidFill>
            </a:rPr>
            <a:t>Algo</a:t>
          </a:r>
        </a:p>
      </xdr:txBody>
    </xdr:sp>
    <xdr:clientData/>
  </xdr:oneCellAnchor>
  <xdr:oneCellAnchor>
    <xdr:from>
      <xdr:col>18</xdr:col>
      <xdr:colOff>91439</xdr:colOff>
      <xdr:row>11</xdr:row>
      <xdr:rowOff>144780</xdr:rowOff>
    </xdr:from>
    <xdr:ext cx="815340" cy="264560"/>
    <xdr:sp macro="" textlink="'Sample data'!O6">
      <xdr:nvSpPr>
        <xdr:cNvPr id="38" name="TextBox 37">
          <a:extLst>
            <a:ext uri="{FF2B5EF4-FFF2-40B4-BE49-F238E27FC236}">
              <a16:creationId xmlns:a16="http://schemas.microsoft.com/office/drawing/2014/main" id="{2D7EA46D-9129-498C-A675-46E16B824C98}"/>
            </a:ext>
          </a:extLst>
        </xdr:cNvPr>
        <xdr:cNvSpPr txBox="1"/>
      </xdr:nvSpPr>
      <xdr:spPr>
        <a:xfrm>
          <a:off x="11064239" y="215646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2EE9007-28B2-45D3-ACEA-51D7A74F8AC4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68%</a:t>
          </a:fld>
          <a:endParaRPr lang="en-IN" sz="1200" b="0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7619</xdr:colOff>
      <xdr:row>10</xdr:row>
      <xdr:rowOff>0</xdr:rowOff>
    </xdr:from>
    <xdr:ext cx="815340" cy="264560"/>
    <xdr:sp macro="" textlink="'Sample data'!O5">
      <xdr:nvSpPr>
        <xdr:cNvPr id="39" name="TextBox 38">
          <a:extLst>
            <a:ext uri="{FF2B5EF4-FFF2-40B4-BE49-F238E27FC236}">
              <a16:creationId xmlns:a16="http://schemas.microsoft.com/office/drawing/2014/main" id="{24864668-CB37-4FDD-BDE4-31D9FFCC589B}"/>
            </a:ext>
          </a:extLst>
        </xdr:cNvPr>
        <xdr:cNvSpPr txBox="1"/>
      </xdr:nvSpPr>
      <xdr:spPr>
        <a:xfrm>
          <a:off x="10980419" y="182880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E29A6E5A-477B-409C-9E0F-E0D1B541C9F0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 (8,345)</a:t>
          </a:fld>
          <a:endParaRPr lang="en-IN" sz="1200" b="0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22859</xdr:colOff>
      <xdr:row>7</xdr:row>
      <xdr:rowOff>121920</xdr:rowOff>
    </xdr:from>
    <xdr:ext cx="815340" cy="264560"/>
    <xdr:sp macro="" textlink="'Sample data'!O3">
      <xdr:nvSpPr>
        <xdr:cNvPr id="40" name="TextBox 39">
          <a:extLst>
            <a:ext uri="{FF2B5EF4-FFF2-40B4-BE49-F238E27FC236}">
              <a16:creationId xmlns:a16="http://schemas.microsoft.com/office/drawing/2014/main" id="{3EE8AF92-772C-4A6D-8792-BC17CE17BFBE}"/>
            </a:ext>
          </a:extLst>
        </xdr:cNvPr>
        <xdr:cNvSpPr txBox="1"/>
      </xdr:nvSpPr>
      <xdr:spPr>
        <a:xfrm>
          <a:off x="10995659" y="140208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7FAE1C64-C52C-41F3-BC0F-A1FF1897DB42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 8,941 </a:t>
          </a:fld>
          <a:endParaRPr lang="en-IN" sz="1200" b="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601979</xdr:colOff>
      <xdr:row>8</xdr:row>
      <xdr:rowOff>167640</xdr:rowOff>
    </xdr:from>
    <xdr:ext cx="815340" cy="264560"/>
    <xdr:sp macro="" textlink="'Sample data'!O4">
      <xdr:nvSpPr>
        <xdr:cNvPr id="41" name="TextBox 40">
          <a:extLst>
            <a:ext uri="{FF2B5EF4-FFF2-40B4-BE49-F238E27FC236}">
              <a16:creationId xmlns:a16="http://schemas.microsoft.com/office/drawing/2014/main" id="{6B4FE78A-AF66-494D-B1CC-7A44FD4A71C3}"/>
            </a:ext>
          </a:extLst>
        </xdr:cNvPr>
        <xdr:cNvSpPr txBox="1"/>
      </xdr:nvSpPr>
      <xdr:spPr>
        <a:xfrm>
          <a:off x="10965179" y="163068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2657F2C3-CAC1-4642-8E32-53586CBA5E35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 17,075 </a:t>
          </a:fld>
          <a:endParaRPr lang="en-IN" sz="1200" b="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510539</xdr:colOff>
      <xdr:row>12</xdr:row>
      <xdr:rowOff>121920</xdr:rowOff>
    </xdr:from>
    <xdr:ext cx="815340" cy="264560"/>
    <xdr:sp macro="" textlink="'Sample data'!N7">
      <xdr:nvSpPr>
        <xdr:cNvPr id="42" name="TextBox 41">
          <a:extLst>
            <a:ext uri="{FF2B5EF4-FFF2-40B4-BE49-F238E27FC236}">
              <a16:creationId xmlns:a16="http://schemas.microsoft.com/office/drawing/2014/main" id="{B7160A08-3015-4B61-BEE5-4374429EC2AB}"/>
            </a:ext>
          </a:extLst>
        </xdr:cNvPr>
        <xdr:cNvSpPr txBox="1"/>
      </xdr:nvSpPr>
      <xdr:spPr>
        <a:xfrm>
          <a:off x="9654539" y="231648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0640B465-63F6-42A5-9514-AB7232468F1B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1.51</a:t>
          </a:fld>
          <a:endParaRPr lang="en-IN" sz="1200" b="0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99059</xdr:colOff>
      <xdr:row>13</xdr:row>
      <xdr:rowOff>144780</xdr:rowOff>
    </xdr:from>
    <xdr:ext cx="815340" cy="264560"/>
    <xdr:sp macro="" textlink="'Sample data'!O8">
      <xdr:nvSpPr>
        <xdr:cNvPr id="43" name="TextBox 42">
          <a:extLst>
            <a:ext uri="{FF2B5EF4-FFF2-40B4-BE49-F238E27FC236}">
              <a16:creationId xmlns:a16="http://schemas.microsoft.com/office/drawing/2014/main" id="{9FE5BBAB-63ED-4D91-AA32-B273CA2CB61A}"/>
            </a:ext>
          </a:extLst>
        </xdr:cNvPr>
        <xdr:cNvSpPr txBox="1"/>
      </xdr:nvSpPr>
      <xdr:spPr>
        <a:xfrm>
          <a:off x="11071859" y="252222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F216E732-6A01-42F8-BFA0-312CF1CC213D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1.07</a:t>
          </a:fld>
          <a:endParaRPr lang="en-IN" sz="11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18</xdr:col>
      <xdr:colOff>83819</xdr:colOff>
      <xdr:row>12</xdr:row>
      <xdr:rowOff>137160</xdr:rowOff>
    </xdr:from>
    <xdr:ext cx="815340" cy="264560"/>
    <xdr:sp macro="" textlink="'Sample data'!O7">
      <xdr:nvSpPr>
        <xdr:cNvPr id="44" name="TextBox 43">
          <a:extLst>
            <a:ext uri="{FF2B5EF4-FFF2-40B4-BE49-F238E27FC236}">
              <a16:creationId xmlns:a16="http://schemas.microsoft.com/office/drawing/2014/main" id="{25C169B6-D8D1-4B6E-B09F-994DB7A300DF}"/>
            </a:ext>
          </a:extLst>
        </xdr:cNvPr>
        <xdr:cNvSpPr txBox="1"/>
      </xdr:nvSpPr>
      <xdr:spPr>
        <a:xfrm>
          <a:off x="11056619" y="2331720"/>
          <a:ext cx="8153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E6C652AE-00D5-46E5-B467-9A6F5F3C36A7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2.05</a:t>
          </a:fld>
          <a:endParaRPr lang="en-IN" sz="11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20</xdr:col>
      <xdr:colOff>83820</xdr:colOff>
      <xdr:row>5</xdr:row>
      <xdr:rowOff>106680</xdr:rowOff>
    </xdr:from>
    <xdr:ext cx="929640" cy="280205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B91EA53-8538-471A-825A-4C630E666DDA}"/>
            </a:ext>
          </a:extLst>
        </xdr:cNvPr>
        <xdr:cNvSpPr txBox="1"/>
      </xdr:nvSpPr>
      <xdr:spPr>
        <a:xfrm>
          <a:off x="12275820" y="1021080"/>
          <a:ext cx="9296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bg1"/>
              </a:solidFill>
            </a:rPr>
            <a:t>Max</a:t>
          </a:r>
          <a:r>
            <a:rPr lang="en-IN" sz="1200" b="1" baseline="0">
              <a:solidFill>
                <a:schemeClr val="bg1"/>
              </a:solidFill>
            </a:rPr>
            <a:t> DD</a:t>
          </a:r>
          <a:endParaRPr lang="en-IN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130988</xdr:colOff>
      <xdr:row>6</xdr:row>
      <xdr:rowOff>160020</xdr:rowOff>
    </xdr:from>
    <xdr:ext cx="920572" cy="311496"/>
    <xdr:sp macro="" textlink="Sheet7!L5">
      <xdr:nvSpPr>
        <xdr:cNvPr id="46" name="TextBox 45">
          <a:extLst>
            <a:ext uri="{FF2B5EF4-FFF2-40B4-BE49-F238E27FC236}">
              <a16:creationId xmlns:a16="http://schemas.microsoft.com/office/drawing/2014/main" id="{C1299C03-3B7B-4E37-BBFD-DBFD96A034D0}"/>
            </a:ext>
          </a:extLst>
        </xdr:cNvPr>
        <xdr:cNvSpPr txBox="1"/>
      </xdr:nvSpPr>
      <xdr:spPr>
        <a:xfrm>
          <a:off x="12322988" y="1257300"/>
          <a:ext cx="92057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10090A8A-FFA5-4D29-A02D-871FDDA81A62}" type="TxLink">
            <a:rPr lang="en-US" sz="14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 (28,684)</a:t>
          </a:fld>
          <a:endParaRPr lang="en-IN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20</xdr:col>
      <xdr:colOff>160020</xdr:colOff>
      <xdr:row>9</xdr:row>
      <xdr:rowOff>7620</xdr:rowOff>
    </xdr:from>
    <xdr:ext cx="929640" cy="280205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8BD17DE-F913-485C-AE02-C5F984345C4C}"/>
            </a:ext>
          </a:extLst>
        </xdr:cNvPr>
        <xdr:cNvSpPr txBox="1"/>
      </xdr:nvSpPr>
      <xdr:spPr>
        <a:xfrm>
          <a:off x="12352020" y="1653540"/>
          <a:ext cx="9296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bg1"/>
              </a:solidFill>
            </a:rPr>
            <a:t>Winning</a:t>
          </a:r>
          <a:r>
            <a:rPr lang="en-IN" sz="1200" b="1" baseline="0">
              <a:solidFill>
                <a:schemeClr val="bg1"/>
              </a:solidFill>
            </a:rPr>
            <a:t> Str</a:t>
          </a:r>
          <a:endParaRPr lang="en-IN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373380</xdr:colOff>
      <xdr:row>10</xdr:row>
      <xdr:rowOff>60960</xdr:rowOff>
    </xdr:from>
    <xdr:ext cx="929640" cy="280205"/>
    <xdr:sp macro="" textlink="'Sample data'!Q2">
      <xdr:nvSpPr>
        <xdr:cNvPr id="48" name="TextBox 47">
          <a:extLst>
            <a:ext uri="{FF2B5EF4-FFF2-40B4-BE49-F238E27FC236}">
              <a16:creationId xmlns:a16="http://schemas.microsoft.com/office/drawing/2014/main" id="{23EF95BC-195A-4007-80A3-DCAB8E95BD90}"/>
            </a:ext>
          </a:extLst>
        </xdr:cNvPr>
        <xdr:cNvSpPr txBox="1"/>
      </xdr:nvSpPr>
      <xdr:spPr>
        <a:xfrm>
          <a:off x="12565380" y="1889760"/>
          <a:ext cx="9296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A7C962E-1A03-4044-99F9-115036CF62C9}" type="TxLink">
            <a:rPr lang="en-US" sz="12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/>
            <a:t>10</a:t>
          </a:fld>
          <a:endParaRPr lang="en-IN" sz="1200" b="1">
            <a:solidFill>
              <a:srgbClr val="00B050"/>
            </a:solidFill>
          </a:endParaRPr>
        </a:p>
      </xdr:txBody>
    </xdr:sp>
    <xdr:clientData/>
  </xdr:oneCellAnchor>
  <xdr:oneCellAnchor>
    <xdr:from>
      <xdr:col>20</xdr:col>
      <xdr:colOff>152400</xdr:colOff>
      <xdr:row>12</xdr:row>
      <xdr:rowOff>38100</xdr:rowOff>
    </xdr:from>
    <xdr:ext cx="929640" cy="280205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993567E-F6A7-405C-BCDF-1D08B2CC472C}"/>
            </a:ext>
          </a:extLst>
        </xdr:cNvPr>
        <xdr:cNvSpPr txBox="1"/>
      </xdr:nvSpPr>
      <xdr:spPr>
        <a:xfrm>
          <a:off x="12344400" y="2232660"/>
          <a:ext cx="9296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chemeClr val="bg1"/>
              </a:solidFill>
            </a:rPr>
            <a:t>Losing</a:t>
          </a:r>
          <a:r>
            <a:rPr lang="en-IN" sz="1200" b="1" baseline="0">
              <a:solidFill>
                <a:schemeClr val="bg1"/>
              </a:solidFill>
            </a:rPr>
            <a:t> Str</a:t>
          </a:r>
          <a:endParaRPr lang="en-IN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396240</xdr:colOff>
      <xdr:row>13</xdr:row>
      <xdr:rowOff>106680</xdr:rowOff>
    </xdr:from>
    <xdr:ext cx="929640" cy="280205"/>
    <xdr:sp macro="" textlink="'Sample data'!Q3">
      <xdr:nvSpPr>
        <xdr:cNvPr id="50" name="TextBox 49">
          <a:extLst>
            <a:ext uri="{FF2B5EF4-FFF2-40B4-BE49-F238E27FC236}">
              <a16:creationId xmlns:a16="http://schemas.microsoft.com/office/drawing/2014/main" id="{708FBF16-E3E5-4EE2-A449-8D84BD752E5D}"/>
            </a:ext>
          </a:extLst>
        </xdr:cNvPr>
        <xdr:cNvSpPr txBox="1"/>
      </xdr:nvSpPr>
      <xdr:spPr>
        <a:xfrm>
          <a:off x="12588240" y="2484120"/>
          <a:ext cx="9296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097B8DF-36DD-4516-B74B-826CB00F015A}" type="TxLink">
            <a:rPr lang="en-US" sz="1200" b="1" i="0" u="none" strike="noStrike">
              <a:solidFill>
                <a:srgbClr val="FFC000"/>
              </a:solidFill>
              <a:latin typeface="Calibri"/>
              <a:ea typeface="Calibri"/>
              <a:cs typeface="Calibri"/>
            </a:rPr>
            <a:pPr/>
            <a:t>3</a:t>
          </a:fld>
          <a:endParaRPr lang="en-IN" sz="1200" b="1">
            <a:solidFill>
              <a:srgbClr val="FFC000"/>
            </a:solidFill>
          </a:endParaRPr>
        </a:p>
      </xdr:txBody>
    </xdr:sp>
    <xdr:clientData/>
  </xdr:oneCellAnchor>
  <xdr:twoCellAnchor editAs="oneCell">
    <xdr:from>
      <xdr:col>0</xdr:col>
      <xdr:colOff>15241</xdr:colOff>
      <xdr:row>0</xdr:row>
      <xdr:rowOff>68580</xdr:rowOff>
    </xdr:from>
    <xdr:to>
      <xdr:col>1</xdr:col>
      <xdr:colOff>529541</xdr:colOff>
      <xdr:row>3</xdr:row>
      <xdr:rowOff>144780</xdr:rowOff>
    </xdr:to>
    <xdr:pic>
      <xdr:nvPicPr>
        <xdr:cNvPr id="53" name="Picture 52" descr="Bank Nifty Rises 2%, Up for 8th ...">
          <a:extLst>
            <a:ext uri="{FF2B5EF4-FFF2-40B4-BE49-F238E27FC236}">
              <a16:creationId xmlns:a16="http://schemas.microsoft.com/office/drawing/2014/main" id="{9AA110E4-9578-4939-97E3-0093D774D1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42" t="24623" r="14432" b="-2009"/>
        <a:stretch/>
      </xdr:blipFill>
      <xdr:spPr bwMode="auto">
        <a:xfrm>
          <a:off x="15241" y="68580"/>
          <a:ext cx="112390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232</xdr:row>
      <xdr:rowOff>41910</xdr:rowOff>
    </xdr:from>
    <xdr:to>
      <xdr:col>13</xdr:col>
      <xdr:colOff>121920</xdr:colOff>
      <xdr:row>247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AD1E06-A953-5282-0560-E1FB0EF33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2</xdr:row>
      <xdr:rowOff>133350</xdr:rowOff>
    </xdr:from>
    <xdr:to>
      <xdr:col>9</xdr:col>
      <xdr:colOff>510540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F80F76-0A56-6C09-F131-AF763D7FC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</xdr:colOff>
      <xdr:row>19</xdr:row>
      <xdr:rowOff>41910</xdr:rowOff>
    </xdr:from>
    <xdr:to>
      <xdr:col>13</xdr:col>
      <xdr:colOff>335280</xdr:colOff>
      <xdr:row>34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194305-8842-F460-99E2-7BA6BA614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30480</xdr:colOff>
      <xdr:row>9</xdr:row>
      <xdr:rowOff>7620</xdr:rowOff>
    </xdr:from>
    <xdr:to>
      <xdr:col>14</xdr:col>
      <xdr:colOff>533400</xdr:colOff>
      <xdr:row>20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6AF435-83FC-BB63-75C8-BB93D01AC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670560</xdr:colOff>
      <xdr:row>9</xdr:row>
      <xdr:rowOff>160020</xdr:rowOff>
    </xdr:from>
    <xdr:to>
      <xdr:col>7</xdr:col>
      <xdr:colOff>502920</xdr:colOff>
      <xdr:row>17</xdr:row>
      <xdr:rowOff>68580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e">
              <a:extLst>
                <a:ext uri="{FF2B5EF4-FFF2-40B4-BE49-F238E27FC236}">
                  <a16:creationId xmlns:a16="http://schemas.microsoft.com/office/drawing/2014/main" id="{27B69F69-0936-2EBE-528C-D2ACF0E5DB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9020" y="180594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33</xdr:row>
      <xdr:rowOff>41910</xdr:rowOff>
    </xdr:from>
    <xdr:to>
      <xdr:col>11</xdr:col>
      <xdr:colOff>106680</xdr:colOff>
      <xdr:row>48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1C070-8344-91DC-C931-E869EAFE6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10</xdr:row>
      <xdr:rowOff>140970</xdr:rowOff>
    </xdr:from>
    <xdr:to>
      <xdr:col>15</xdr:col>
      <xdr:colOff>281940</xdr:colOff>
      <xdr:row>25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3B9D9-25EA-A9E2-1B65-F1FF8CA80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inkya" refreshedDate="45739.830631828707" createdVersion="8" refreshedVersion="8" minRefreshableVersion="3" recordCount="250" xr:uid="{2D7CF1A1-0B13-47FC-8B11-0139A148117B}">
  <cacheSource type="worksheet">
    <worksheetSource name="Table13"/>
  </cacheSource>
  <cacheFields count="10">
    <cacheField name="Sr No" numFmtId="0">
      <sharedItems containsSemiMixedTypes="0" containsString="0" containsNumber="1" containsInteger="1" minValue="1" maxValue="250" count="2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</sharedItems>
    </cacheField>
    <cacheField name="Date" numFmtId="14">
      <sharedItems containsSemiMixedTypes="0" containsNonDate="0" containsDate="1" containsString="0" minDate="2025-01-01T00:00:00" maxDate="2025-12-17T00:00:00" count="250"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</sharedItems>
      <fieldGroup par="9"/>
    </cacheField>
    <cacheField name="Day" numFmtId="0">
      <sharedItems count="5">
        <s v="Wed"/>
        <s v="Thu"/>
        <s v="Fri"/>
        <s v="Mon"/>
        <s v="Tue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Algo" numFmtId="0">
      <sharedItems containsSemiMixedTypes="0" containsString="0" containsNumber="1" containsInteger="1" minValue="116" maxValue="993"/>
    </cacheField>
    <cacheField name="Manual" numFmtId="0">
      <sharedItems containsSemiMixedTypes="0" containsString="0" containsNumber="1" containsInteger="1" minValue="-997" maxValue="982"/>
    </cacheField>
    <cacheField name="Total Gross P&amp;L" numFmtId="0">
      <sharedItems containsSemiMixedTypes="0" containsString="0" containsNumber="1" containsInteger="1" minValue="-818" maxValue="1868"/>
    </cacheField>
    <cacheField name="Cumulative P&amp;L" numFmtId="0">
      <sharedItems containsSemiMixedTypes="0" containsString="0" containsNumber="1" containsInteger="1" minValue="-496" maxValue="143913"/>
    </cacheField>
    <cacheField name="Days (Date)" numFmtId="0" databaseField="0">
      <fieldGroup base="1">
        <rangePr groupBy="days" startDate="2025-01-01T00:00:00" endDate="2025-12-17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7/2025"/>
        </groupItems>
      </fieldGroup>
    </cacheField>
    <cacheField name="Months (Date)" numFmtId="0" databaseField="0">
      <fieldGroup base="1">
        <rangePr groupBy="months" startDate="2025-01-01T00:00:00" endDate="2025-12-17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inkya" refreshedDate="45739.88878587963" createdVersion="8" refreshedVersion="8" minRefreshableVersion="3" recordCount="250" xr:uid="{78F0B5DF-2C6C-45BA-89CD-075EC92B968A}">
  <cacheSource type="worksheet">
    <worksheetSource name="Table1"/>
  </cacheSource>
  <cacheFields count="10">
    <cacheField name="Sr No" numFmtId="0">
      <sharedItems containsSemiMixedTypes="0" containsString="0" containsNumber="1" containsInteger="1" minValue="1" maxValue="250" count="2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</sharedItems>
    </cacheField>
    <cacheField name="Date" numFmtId="14">
      <sharedItems containsSemiMixedTypes="0" containsNonDate="0" containsDate="1" containsString="0" minDate="2025-01-01T00:00:00" maxDate="2025-12-17T00:00:00" count="250"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</sharedItems>
      <fieldGroup par="9"/>
    </cacheField>
    <cacheField name="Day" numFmtId="0">
      <sharedItems count="5">
        <s v="Wed"/>
        <s v="Thu"/>
        <s v="Fri"/>
        <s v="Mon"/>
        <s v="Tue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Algo" numFmtId="0">
      <sharedItems containsSemiMixedTypes="0" containsString="0" containsNumber="1" containsInteger="1" minValue="-19923" maxValue="34956"/>
    </cacheField>
    <cacheField name="Manual" numFmtId="0">
      <sharedItems containsSemiMixedTypes="0" containsString="0" containsNumber="1" containsInteger="1" minValue="-19751" maxValue="34949"/>
    </cacheField>
    <cacheField name="Total Gross P&amp;L" numFmtId="0">
      <sharedItems containsSemiMixedTypes="0" containsString="0" containsNumber="1" containsInteger="1" minValue="-33714" maxValue="64036"/>
    </cacheField>
    <cacheField name="Cumulative P&amp;L" numFmtId="0">
      <sharedItems containsSemiMixedTypes="0" containsString="0" containsNumber="1" containsInteger="1" minValue="18245" maxValue="3796755"/>
    </cacheField>
    <cacheField name="Days (Date)" numFmtId="0" databaseField="0">
      <fieldGroup base="1">
        <rangePr groupBy="days" startDate="2025-01-01T00:00:00" endDate="2025-12-17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7/2025"/>
        </groupItems>
      </fieldGroup>
    </cacheField>
    <cacheField name="Months (Date)" numFmtId="0" databaseField="0">
      <fieldGroup base="1">
        <rangePr groupBy="months" startDate="2025-01-01T00:00:00" endDate="2025-12-17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7/2025"/>
        </groupItems>
      </fieldGroup>
    </cacheField>
  </cacheFields>
  <extLst>
    <ext xmlns:x14="http://schemas.microsoft.com/office/spreadsheetml/2009/9/main" uri="{725AE2AE-9491-48be-B2B4-4EB974FC3084}">
      <x14:pivotCacheDefinition pivotCacheId="7360364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jinkya" refreshedDate="45740.031078587963" backgroundQuery="1" createdVersion="8" refreshedVersion="8" minRefreshableVersion="3" recordCount="0" supportSubquery="1" supportAdvancedDrill="1" xr:uid="{691CD2BC-A743-4C15-BD71-B747B3E370A6}">
  <cacheSource type="external" connectionId="1"/>
  <cacheFields count="4">
    <cacheField name="[Table1].[Week].[Week]" caption="Week" numFmtId="0" hierarchy="8" level="1">
      <sharedItems containsSemiMixedTypes="0" containsString="0" containsNumber="1" containsInteger="1" minValue="1" maxValue="51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</sharedItems>
      <extLst>
        <ext xmlns:x15="http://schemas.microsoft.com/office/spreadsheetml/2010/11/main" uri="{4F2E5C28-24EA-4eb8-9CBF-B6C8F9C3D259}">
          <x15:cachedUniqueNames>
            <x15:cachedUniqueName index="0" name="[Table1].[Week].&amp;[1]"/>
            <x15:cachedUniqueName index="1" name="[Table1].[Week].&amp;[2]"/>
            <x15:cachedUniqueName index="2" name="[Table1].[Week].&amp;[3]"/>
            <x15:cachedUniqueName index="3" name="[Table1].[Week].&amp;[4]"/>
            <x15:cachedUniqueName index="4" name="[Table1].[Week].&amp;[5]"/>
            <x15:cachedUniqueName index="5" name="[Table1].[Week].&amp;[6]"/>
            <x15:cachedUniqueName index="6" name="[Table1].[Week].&amp;[7]"/>
            <x15:cachedUniqueName index="7" name="[Table1].[Week].&amp;[8]"/>
            <x15:cachedUniqueName index="8" name="[Table1].[Week].&amp;[9]"/>
            <x15:cachedUniqueName index="9" name="[Table1].[Week].&amp;[10]"/>
            <x15:cachedUniqueName index="10" name="[Table1].[Week].&amp;[11]"/>
            <x15:cachedUniqueName index="11" name="[Table1].[Week].&amp;[12]"/>
            <x15:cachedUniqueName index="12" name="[Table1].[Week].&amp;[13]"/>
            <x15:cachedUniqueName index="13" name="[Table1].[Week].&amp;[14]"/>
            <x15:cachedUniqueName index="14" name="[Table1].[Week].&amp;[15]"/>
            <x15:cachedUniqueName index="15" name="[Table1].[Week].&amp;[16]"/>
            <x15:cachedUniqueName index="16" name="[Table1].[Week].&amp;[17]"/>
            <x15:cachedUniqueName index="17" name="[Table1].[Week].&amp;[18]"/>
            <x15:cachedUniqueName index="18" name="[Table1].[Week].&amp;[19]"/>
            <x15:cachedUniqueName index="19" name="[Table1].[Week].&amp;[20]"/>
            <x15:cachedUniqueName index="20" name="[Table1].[Week].&amp;[21]"/>
            <x15:cachedUniqueName index="21" name="[Table1].[Week].&amp;[22]"/>
            <x15:cachedUniqueName index="22" name="[Table1].[Week].&amp;[23]"/>
            <x15:cachedUniqueName index="23" name="[Table1].[Week].&amp;[24]"/>
            <x15:cachedUniqueName index="24" name="[Table1].[Week].&amp;[25]"/>
            <x15:cachedUniqueName index="25" name="[Table1].[Week].&amp;[26]"/>
            <x15:cachedUniqueName index="26" name="[Table1].[Week].&amp;[27]"/>
            <x15:cachedUniqueName index="27" name="[Table1].[Week].&amp;[28]"/>
            <x15:cachedUniqueName index="28" name="[Table1].[Week].&amp;[29]"/>
            <x15:cachedUniqueName index="29" name="[Table1].[Week].&amp;[30]"/>
            <x15:cachedUniqueName index="30" name="[Table1].[Week].&amp;[31]"/>
            <x15:cachedUniqueName index="31" name="[Table1].[Week].&amp;[32]"/>
            <x15:cachedUniqueName index="32" name="[Table1].[Week].&amp;[33]"/>
            <x15:cachedUniqueName index="33" name="[Table1].[Week].&amp;[34]"/>
            <x15:cachedUniqueName index="34" name="[Table1].[Week].&amp;[35]"/>
            <x15:cachedUniqueName index="35" name="[Table1].[Week].&amp;[36]"/>
            <x15:cachedUniqueName index="36" name="[Table1].[Week].&amp;[37]"/>
            <x15:cachedUniqueName index="37" name="[Table1].[Week].&amp;[38]"/>
            <x15:cachedUniqueName index="38" name="[Table1].[Week].&amp;[39]"/>
            <x15:cachedUniqueName index="39" name="[Table1].[Week].&amp;[40]"/>
            <x15:cachedUniqueName index="40" name="[Table1].[Week].&amp;[41]"/>
            <x15:cachedUniqueName index="41" name="[Table1].[Week].&amp;[42]"/>
            <x15:cachedUniqueName index="42" name="[Table1].[Week].&amp;[43]"/>
            <x15:cachedUniqueName index="43" name="[Table1].[Week].&amp;[44]"/>
            <x15:cachedUniqueName index="44" name="[Table1].[Week].&amp;[45]"/>
            <x15:cachedUniqueName index="45" name="[Table1].[Week].&amp;[46]"/>
            <x15:cachedUniqueName index="46" name="[Table1].[Week].&amp;[47]"/>
            <x15:cachedUniqueName index="47" name="[Table1].[Week].&amp;[48]"/>
            <x15:cachedUniqueName index="48" name="[Table1].[Week].&amp;[49]"/>
            <x15:cachedUniqueName index="49" name="[Table1].[Week].&amp;[50]"/>
            <x15:cachedUniqueName index="50" name="[Table1].[Week].&amp;[51]"/>
          </x15:cachedUniqueNames>
        </ext>
      </extLst>
    </cacheField>
    <cacheField name="[Measures].[Sum of Algo]" caption="Sum of Algo" numFmtId="0" hierarchy="11" level="32767"/>
    <cacheField name="[Measures].[Sum of Manual]" caption="Sum of Manual" numFmtId="0" hierarchy="12" level="32767"/>
    <cacheField name="[Measures].[Sum of Total Gross P&amp;L]" caption="Sum of Total Gross P&amp;L" numFmtId="0" hierarchy="13" level="32767"/>
  </cacheFields>
  <cacheHierarchies count="14">
    <cacheHierarchy uniqueName="[Table1].[Sr No]" caption="Sr No" attribute="1" defaultMemberUniqueName="[Table1].[Sr No].[All]" allUniqueName="[Table1].[Sr No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Algo]" caption="Algo" attribute="1" defaultMemberUniqueName="[Table1].[Algo].[All]" allUniqueName="[Table1].[Algo].[All]" dimensionUniqueName="[Table1]" displayFolder="" count="0" memberValueDatatype="20" unbalanced="0"/>
    <cacheHierarchy uniqueName="[Table1].[Manual]" caption="Manual" attribute="1" defaultMemberUniqueName="[Table1].[Manual].[All]" allUniqueName="[Table1].[Manual].[All]" dimensionUniqueName="[Table1]" displayFolder="" count="0" memberValueDatatype="20" unbalanced="0"/>
    <cacheHierarchy uniqueName="[Table1].[Total Gross P&amp;L]" caption="Total Gross P&amp;L" attribute="1" defaultMemberUniqueName="[Table1].[Total Gross P&amp;L].[All]" allUniqueName="[Table1].[Total Gross P&amp;L].[All]" dimensionUniqueName="[Table1]" displayFolder="" count="0" memberValueDatatype="20" unbalanced="0"/>
    <cacheHierarchy uniqueName="[Table1].[Cumulative P&amp;L]" caption="Cumulative P&amp;L" attribute="1" defaultMemberUniqueName="[Table1].[Cumulative P&amp;L].[All]" allUniqueName="[Table1].[Cumulative P&amp;L].[All]" dimensionUniqueName="[Table1]" displayFolder="" count="0" memberValueDatatype="20" unbalanced="0"/>
    <cacheHierarchy uniqueName="[Table1].[Week]" caption="Week" attribute="1" defaultMemberUniqueName="[Table1].[Week].[All]" allUniqueName="[Table1].[Week].[All]" dimensionUniqueName="[Table1]" displayFolder="" count="2" memberValueDatatype="2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Algo]" caption="Sum of Algo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anual]" caption="Sum of Manual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Gross P&amp;L]" caption="Sum of Total Gross P&amp;L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x v="0"/>
    <x v="0"/>
    <n v="270"/>
    <n v="-766"/>
    <n v="-496"/>
    <n v="-496"/>
  </r>
  <r>
    <x v="1"/>
    <x v="1"/>
    <x v="1"/>
    <x v="0"/>
    <n v="415"/>
    <n v="711"/>
    <n v="1126"/>
    <n v="630"/>
  </r>
  <r>
    <x v="2"/>
    <x v="2"/>
    <x v="2"/>
    <x v="0"/>
    <n v="783"/>
    <n v="102"/>
    <n v="885"/>
    <n v="1515"/>
  </r>
  <r>
    <x v="3"/>
    <x v="3"/>
    <x v="3"/>
    <x v="0"/>
    <n v="789"/>
    <n v="-469"/>
    <n v="320"/>
    <n v="1835"/>
  </r>
  <r>
    <x v="4"/>
    <x v="4"/>
    <x v="4"/>
    <x v="0"/>
    <n v="875"/>
    <n v="45"/>
    <n v="920"/>
    <n v="2755"/>
  </r>
  <r>
    <x v="5"/>
    <x v="5"/>
    <x v="0"/>
    <x v="0"/>
    <n v="754"/>
    <n v="489"/>
    <n v="1243"/>
    <n v="3998"/>
  </r>
  <r>
    <x v="6"/>
    <x v="6"/>
    <x v="1"/>
    <x v="0"/>
    <n v="484"/>
    <n v="718"/>
    <n v="1202"/>
    <n v="5200"/>
  </r>
  <r>
    <x v="7"/>
    <x v="7"/>
    <x v="2"/>
    <x v="0"/>
    <n v="548"/>
    <n v="-454"/>
    <n v="94"/>
    <n v="5294"/>
  </r>
  <r>
    <x v="8"/>
    <x v="8"/>
    <x v="3"/>
    <x v="0"/>
    <n v="474"/>
    <n v="178"/>
    <n v="652"/>
    <n v="5946"/>
  </r>
  <r>
    <x v="9"/>
    <x v="9"/>
    <x v="4"/>
    <x v="0"/>
    <n v="141"/>
    <n v="-575"/>
    <n v="-434"/>
    <n v="5512"/>
  </r>
  <r>
    <x v="10"/>
    <x v="10"/>
    <x v="0"/>
    <x v="0"/>
    <n v="174"/>
    <n v="472"/>
    <n v="646"/>
    <n v="6158"/>
  </r>
  <r>
    <x v="11"/>
    <x v="11"/>
    <x v="1"/>
    <x v="0"/>
    <n v="508"/>
    <n v="197"/>
    <n v="705"/>
    <n v="6863"/>
  </r>
  <r>
    <x v="12"/>
    <x v="12"/>
    <x v="2"/>
    <x v="0"/>
    <n v="414"/>
    <n v="-973"/>
    <n v="-559"/>
    <n v="6304"/>
  </r>
  <r>
    <x v="13"/>
    <x v="13"/>
    <x v="3"/>
    <x v="0"/>
    <n v="954"/>
    <n v="-335"/>
    <n v="619"/>
    <n v="6923"/>
  </r>
  <r>
    <x v="14"/>
    <x v="14"/>
    <x v="4"/>
    <x v="0"/>
    <n v="206"/>
    <n v="568"/>
    <n v="774"/>
    <n v="7697"/>
  </r>
  <r>
    <x v="15"/>
    <x v="15"/>
    <x v="0"/>
    <x v="0"/>
    <n v="979"/>
    <n v="454"/>
    <n v="1433"/>
    <n v="9130"/>
  </r>
  <r>
    <x v="16"/>
    <x v="16"/>
    <x v="1"/>
    <x v="0"/>
    <n v="870"/>
    <n v="-50"/>
    <n v="820"/>
    <n v="9950"/>
  </r>
  <r>
    <x v="17"/>
    <x v="17"/>
    <x v="2"/>
    <x v="0"/>
    <n v="435"/>
    <n v="663"/>
    <n v="1098"/>
    <n v="11048"/>
  </r>
  <r>
    <x v="18"/>
    <x v="18"/>
    <x v="3"/>
    <x v="0"/>
    <n v="776"/>
    <n v="586"/>
    <n v="1362"/>
    <n v="12410"/>
  </r>
  <r>
    <x v="19"/>
    <x v="19"/>
    <x v="4"/>
    <x v="0"/>
    <n v="436"/>
    <n v="-903"/>
    <n v="-467"/>
    <n v="11943"/>
  </r>
  <r>
    <x v="20"/>
    <x v="20"/>
    <x v="0"/>
    <x v="0"/>
    <n v="562"/>
    <n v="745"/>
    <n v="1307"/>
    <n v="13250"/>
  </r>
  <r>
    <x v="21"/>
    <x v="21"/>
    <x v="1"/>
    <x v="0"/>
    <n v="814"/>
    <n v="916"/>
    <n v="1730"/>
    <n v="14980"/>
  </r>
  <r>
    <x v="22"/>
    <x v="22"/>
    <x v="2"/>
    <x v="0"/>
    <n v="174"/>
    <n v="972"/>
    <n v="1146"/>
    <n v="16126"/>
  </r>
  <r>
    <x v="23"/>
    <x v="23"/>
    <x v="3"/>
    <x v="1"/>
    <n v="603"/>
    <n v="517"/>
    <n v="1120"/>
    <n v="17246"/>
  </r>
  <r>
    <x v="24"/>
    <x v="24"/>
    <x v="4"/>
    <x v="1"/>
    <n v="462"/>
    <n v="363"/>
    <n v="825"/>
    <n v="18071"/>
  </r>
  <r>
    <x v="25"/>
    <x v="25"/>
    <x v="0"/>
    <x v="1"/>
    <n v="443"/>
    <n v="48"/>
    <n v="491"/>
    <n v="18562"/>
  </r>
  <r>
    <x v="26"/>
    <x v="26"/>
    <x v="1"/>
    <x v="1"/>
    <n v="359"/>
    <n v="-291"/>
    <n v="68"/>
    <n v="18630"/>
  </r>
  <r>
    <x v="27"/>
    <x v="27"/>
    <x v="2"/>
    <x v="1"/>
    <n v="254"/>
    <n v="250"/>
    <n v="504"/>
    <n v="19134"/>
  </r>
  <r>
    <x v="28"/>
    <x v="28"/>
    <x v="3"/>
    <x v="1"/>
    <n v="710"/>
    <n v="-45"/>
    <n v="665"/>
    <n v="19799"/>
  </r>
  <r>
    <x v="29"/>
    <x v="29"/>
    <x v="4"/>
    <x v="1"/>
    <n v="161"/>
    <n v="-332"/>
    <n v="-171"/>
    <n v="19628"/>
  </r>
  <r>
    <x v="30"/>
    <x v="30"/>
    <x v="0"/>
    <x v="1"/>
    <n v="149"/>
    <n v="334"/>
    <n v="483"/>
    <n v="20111"/>
  </r>
  <r>
    <x v="31"/>
    <x v="31"/>
    <x v="1"/>
    <x v="1"/>
    <n v="223"/>
    <n v="-597"/>
    <n v="-374"/>
    <n v="19737"/>
  </r>
  <r>
    <x v="32"/>
    <x v="32"/>
    <x v="2"/>
    <x v="1"/>
    <n v="632"/>
    <n v="430"/>
    <n v="1062"/>
    <n v="20799"/>
  </r>
  <r>
    <x v="33"/>
    <x v="33"/>
    <x v="3"/>
    <x v="1"/>
    <n v="950"/>
    <n v="-350"/>
    <n v="600"/>
    <n v="21399"/>
  </r>
  <r>
    <x v="34"/>
    <x v="34"/>
    <x v="4"/>
    <x v="1"/>
    <n v="838"/>
    <n v="-585"/>
    <n v="253"/>
    <n v="21652"/>
  </r>
  <r>
    <x v="35"/>
    <x v="35"/>
    <x v="0"/>
    <x v="1"/>
    <n v="250"/>
    <n v="-476"/>
    <n v="-226"/>
    <n v="21426"/>
  </r>
  <r>
    <x v="36"/>
    <x v="36"/>
    <x v="1"/>
    <x v="1"/>
    <n v="572"/>
    <n v="771"/>
    <n v="1343"/>
    <n v="22769"/>
  </r>
  <r>
    <x v="37"/>
    <x v="37"/>
    <x v="2"/>
    <x v="1"/>
    <n v="916"/>
    <n v="-741"/>
    <n v="175"/>
    <n v="22944"/>
  </r>
  <r>
    <x v="38"/>
    <x v="38"/>
    <x v="3"/>
    <x v="1"/>
    <n v="788"/>
    <n v="-944"/>
    <n v="-156"/>
    <n v="22788"/>
  </r>
  <r>
    <x v="39"/>
    <x v="39"/>
    <x v="4"/>
    <x v="1"/>
    <n v="154"/>
    <n v="-55"/>
    <n v="99"/>
    <n v="22887"/>
  </r>
  <r>
    <x v="40"/>
    <x v="40"/>
    <x v="0"/>
    <x v="1"/>
    <n v="759"/>
    <n v="536"/>
    <n v="1295"/>
    <n v="24182"/>
  </r>
  <r>
    <x v="41"/>
    <x v="41"/>
    <x v="1"/>
    <x v="1"/>
    <n v="580"/>
    <n v="-528"/>
    <n v="52"/>
    <n v="24234"/>
  </r>
  <r>
    <x v="42"/>
    <x v="42"/>
    <x v="2"/>
    <x v="1"/>
    <n v="442"/>
    <n v="864"/>
    <n v="1306"/>
    <n v="25540"/>
  </r>
  <r>
    <x v="43"/>
    <x v="43"/>
    <x v="3"/>
    <x v="2"/>
    <n v="371"/>
    <n v="12"/>
    <n v="383"/>
    <n v="25923"/>
  </r>
  <r>
    <x v="44"/>
    <x v="44"/>
    <x v="4"/>
    <x v="2"/>
    <n v="855"/>
    <n v="259"/>
    <n v="1114"/>
    <n v="27037"/>
  </r>
  <r>
    <x v="45"/>
    <x v="45"/>
    <x v="0"/>
    <x v="2"/>
    <n v="199"/>
    <n v="60"/>
    <n v="259"/>
    <n v="27296"/>
  </r>
  <r>
    <x v="46"/>
    <x v="46"/>
    <x v="1"/>
    <x v="2"/>
    <n v="373"/>
    <n v="-898"/>
    <n v="-525"/>
    <n v="26771"/>
  </r>
  <r>
    <x v="47"/>
    <x v="47"/>
    <x v="2"/>
    <x v="2"/>
    <n v="149"/>
    <n v="473"/>
    <n v="622"/>
    <n v="27393"/>
  </r>
  <r>
    <x v="48"/>
    <x v="48"/>
    <x v="3"/>
    <x v="2"/>
    <n v="910"/>
    <n v="575"/>
    <n v="1485"/>
    <n v="28878"/>
  </r>
  <r>
    <x v="49"/>
    <x v="49"/>
    <x v="4"/>
    <x v="2"/>
    <n v="657"/>
    <n v="790"/>
    <n v="1447"/>
    <n v="30325"/>
  </r>
  <r>
    <x v="50"/>
    <x v="50"/>
    <x v="0"/>
    <x v="2"/>
    <n v="769"/>
    <n v="366"/>
    <n v="1135"/>
    <n v="31460"/>
  </r>
  <r>
    <x v="51"/>
    <x v="51"/>
    <x v="1"/>
    <x v="2"/>
    <n v="858"/>
    <n v="691"/>
    <n v="1549"/>
    <n v="33009"/>
  </r>
  <r>
    <x v="52"/>
    <x v="52"/>
    <x v="2"/>
    <x v="2"/>
    <n v="633"/>
    <n v="115"/>
    <n v="748"/>
    <n v="33757"/>
  </r>
  <r>
    <x v="53"/>
    <x v="53"/>
    <x v="3"/>
    <x v="2"/>
    <n v="993"/>
    <n v="-69"/>
    <n v="924"/>
    <n v="34681"/>
  </r>
  <r>
    <x v="54"/>
    <x v="54"/>
    <x v="4"/>
    <x v="2"/>
    <n v="465"/>
    <n v="-968"/>
    <n v="-503"/>
    <n v="34178"/>
  </r>
  <r>
    <x v="55"/>
    <x v="55"/>
    <x v="0"/>
    <x v="2"/>
    <n v="591"/>
    <n v="-812"/>
    <n v="-221"/>
    <n v="33957"/>
  </r>
  <r>
    <x v="56"/>
    <x v="56"/>
    <x v="1"/>
    <x v="2"/>
    <n v="650"/>
    <n v="-518"/>
    <n v="132"/>
    <n v="34089"/>
  </r>
  <r>
    <x v="57"/>
    <x v="57"/>
    <x v="2"/>
    <x v="2"/>
    <n v="122"/>
    <n v="-815"/>
    <n v="-693"/>
    <n v="33396"/>
  </r>
  <r>
    <x v="58"/>
    <x v="58"/>
    <x v="3"/>
    <x v="2"/>
    <n v="630"/>
    <n v="-605"/>
    <n v="25"/>
    <n v="33421"/>
  </r>
  <r>
    <x v="59"/>
    <x v="59"/>
    <x v="4"/>
    <x v="2"/>
    <n v="862"/>
    <n v="459"/>
    <n v="1321"/>
    <n v="34742"/>
  </r>
  <r>
    <x v="60"/>
    <x v="60"/>
    <x v="0"/>
    <x v="2"/>
    <n v="300"/>
    <n v="628"/>
    <n v="928"/>
    <n v="35670"/>
  </r>
  <r>
    <x v="61"/>
    <x v="61"/>
    <x v="1"/>
    <x v="2"/>
    <n v="892"/>
    <n v="702"/>
    <n v="1594"/>
    <n v="37264"/>
  </r>
  <r>
    <x v="62"/>
    <x v="62"/>
    <x v="2"/>
    <x v="2"/>
    <n v="603"/>
    <n v="766"/>
    <n v="1369"/>
    <n v="38633"/>
  </r>
  <r>
    <x v="63"/>
    <x v="63"/>
    <x v="3"/>
    <x v="2"/>
    <n v="460"/>
    <n v="774"/>
    <n v="1234"/>
    <n v="39867"/>
  </r>
  <r>
    <x v="64"/>
    <x v="64"/>
    <x v="4"/>
    <x v="3"/>
    <n v="983"/>
    <n v="-912"/>
    <n v="71"/>
    <n v="39938"/>
  </r>
  <r>
    <x v="65"/>
    <x v="65"/>
    <x v="0"/>
    <x v="3"/>
    <n v="300"/>
    <n v="-940"/>
    <n v="-640"/>
    <n v="39298"/>
  </r>
  <r>
    <x v="66"/>
    <x v="66"/>
    <x v="1"/>
    <x v="3"/>
    <n v="400"/>
    <n v="673"/>
    <n v="1073"/>
    <n v="40371"/>
  </r>
  <r>
    <x v="67"/>
    <x v="67"/>
    <x v="2"/>
    <x v="3"/>
    <n v="584"/>
    <n v="390"/>
    <n v="974"/>
    <n v="41345"/>
  </r>
  <r>
    <x v="68"/>
    <x v="68"/>
    <x v="3"/>
    <x v="3"/>
    <n v="837"/>
    <n v="-303"/>
    <n v="534"/>
    <n v="41879"/>
  </r>
  <r>
    <x v="69"/>
    <x v="69"/>
    <x v="4"/>
    <x v="3"/>
    <n v="597"/>
    <n v="-351"/>
    <n v="246"/>
    <n v="42125"/>
  </r>
  <r>
    <x v="70"/>
    <x v="70"/>
    <x v="0"/>
    <x v="3"/>
    <n v="535"/>
    <n v="158"/>
    <n v="693"/>
    <n v="42818"/>
  </r>
  <r>
    <x v="71"/>
    <x v="71"/>
    <x v="1"/>
    <x v="3"/>
    <n v="972"/>
    <n v="-833"/>
    <n v="139"/>
    <n v="42957"/>
  </r>
  <r>
    <x v="72"/>
    <x v="72"/>
    <x v="2"/>
    <x v="3"/>
    <n v="975"/>
    <n v="-409"/>
    <n v="566"/>
    <n v="43523"/>
  </r>
  <r>
    <x v="73"/>
    <x v="73"/>
    <x v="3"/>
    <x v="3"/>
    <n v="836"/>
    <n v="276"/>
    <n v="1112"/>
    <n v="44635"/>
  </r>
  <r>
    <x v="74"/>
    <x v="74"/>
    <x v="4"/>
    <x v="3"/>
    <n v="824"/>
    <n v="701"/>
    <n v="1525"/>
    <n v="46160"/>
  </r>
  <r>
    <x v="75"/>
    <x v="75"/>
    <x v="0"/>
    <x v="3"/>
    <n v="321"/>
    <n v="-555"/>
    <n v="-234"/>
    <n v="45926"/>
  </r>
  <r>
    <x v="76"/>
    <x v="76"/>
    <x v="1"/>
    <x v="3"/>
    <n v="458"/>
    <n v="-309"/>
    <n v="149"/>
    <n v="46075"/>
  </r>
  <r>
    <x v="77"/>
    <x v="77"/>
    <x v="2"/>
    <x v="3"/>
    <n v="233"/>
    <n v="252"/>
    <n v="485"/>
    <n v="46560"/>
  </r>
  <r>
    <x v="78"/>
    <x v="78"/>
    <x v="3"/>
    <x v="3"/>
    <n v="442"/>
    <n v="240"/>
    <n v="682"/>
    <n v="47242"/>
  </r>
  <r>
    <x v="79"/>
    <x v="79"/>
    <x v="4"/>
    <x v="3"/>
    <n v="405"/>
    <n v="-91"/>
    <n v="314"/>
    <n v="47556"/>
  </r>
  <r>
    <x v="80"/>
    <x v="80"/>
    <x v="0"/>
    <x v="3"/>
    <n v="206"/>
    <n v="920"/>
    <n v="1126"/>
    <n v="48682"/>
  </r>
  <r>
    <x v="81"/>
    <x v="81"/>
    <x v="1"/>
    <x v="3"/>
    <n v="641"/>
    <n v="-701"/>
    <n v="-60"/>
    <n v="48622"/>
  </r>
  <r>
    <x v="82"/>
    <x v="82"/>
    <x v="2"/>
    <x v="3"/>
    <n v="163"/>
    <n v="739"/>
    <n v="902"/>
    <n v="49524"/>
  </r>
  <r>
    <x v="83"/>
    <x v="83"/>
    <x v="3"/>
    <x v="3"/>
    <n v="394"/>
    <n v="-878"/>
    <n v="-484"/>
    <n v="49040"/>
  </r>
  <r>
    <x v="84"/>
    <x v="84"/>
    <x v="4"/>
    <x v="3"/>
    <n v="334"/>
    <n v="-448"/>
    <n v="-114"/>
    <n v="48926"/>
  </r>
  <r>
    <x v="85"/>
    <x v="85"/>
    <x v="0"/>
    <x v="3"/>
    <n v="452"/>
    <n v="622"/>
    <n v="1074"/>
    <n v="50000"/>
  </r>
  <r>
    <x v="86"/>
    <x v="86"/>
    <x v="1"/>
    <x v="4"/>
    <n v="229"/>
    <n v="101"/>
    <n v="330"/>
    <n v="50330"/>
  </r>
  <r>
    <x v="87"/>
    <x v="87"/>
    <x v="2"/>
    <x v="4"/>
    <n v="809"/>
    <n v="447"/>
    <n v="1256"/>
    <n v="51586"/>
  </r>
  <r>
    <x v="88"/>
    <x v="88"/>
    <x v="3"/>
    <x v="4"/>
    <n v="331"/>
    <n v="337"/>
    <n v="668"/>
    <n v="52254"/>
  </r>
  <r>
    <x v="89"/>
    <x v="89"/>
    <x v="4"/>
    <x v="4"/>
    <n v="830"/>
    <n v="136"/>
    <n v="966"/>
    <n v="53220"/>
  </r>
  <r>
    <x v="90"/>
    <x v="90"/>
    <x v="0"/>
    <x v="4"/>
    <n v="516"/>
    <n v="-19"/>
    <n v="497"/>
    <n v="53717"/>
  </r>
  <r>
    <x v="91"/>
    <x v="91"/>
    <x v="1"/>
    <x v="4"/>
    <n v="731"/>
    <n v="313"/>
    <n v="1044"/>
    <n v="54761"/>
  </r>
  <r>
    <x v="92"/>
    <x v="92"/>
    <x v="2"/>
    <x v="4"/>
    <n v="169"/>
    <n v="317"/>
    <n v="486"/>
    <n v="55247"/>
  </r>
  <r>
    <x v="93"/>
    <x v="93"/>
    <x v="3"/>
    <x v="4"/>
    <n v="876"/>
    <n v="920"/>
    <n v="1796"/>
    <n v="57043"/>
  </r>
  <r>
    <x v="94"/>
    <x v="94"/>
    <x v="4"/>
    <x v="4"/>
    <n v="705"/>
    <n v="279"/>
    <n v="984"/>
    <n v="58027"/>
  </r>
  <r>
    <x v="95"/>
    <x v="95"/>
    <x v="0"/>
    <x v="4"/>
    <n v="710"/>
    <n v="529"/>
    <n v="1239"/>
    <n v="59266"/>
  </r>
  <r>
    <x v="96"/>
    <x v="96"/>
    <x v="1"/>
    <x v="4"/>
    <n v="856"/>
    <n v="537"/>
    <n v="1393"/>
    <n v="60659"/>
  </r>
  <r>
    <x v="97"/>
    <x v="97"/>
    <x v="2"/>
    <x v="4"/>
    <n v="735"/>
    <n v="-653"/>
    <n v="82"/>
    <n v="60741"/>
  </r>
  <r>
    <x v="98"/>
    <x v="98"/>
    <x v="3"/>
    <x v="4"/>
    <n v="941"/>
    <n v="-795"/>
    <n v="146"/>
    <n v="60887"/>
  </r>
  <r>
    <x v="99"/>
    <x v="99"/>
    <x v="4"/>
    <x v="4"/>
    <n v="534"/>
    <n v="-406"/>
    <n v="128"/>
    <n v="61015"/>
  </r>
  <r>
    <x v="100"/>
    <x v="100"/>
    <x v="0"/>
    <x v="4"/>
    <n v="590"/>
    <n v="-923"/>
    <n v="-333"/>
    <n v="60682"/>
  </r>
  <r>
    <x v="101"/>
    <x v="101"/>
    <x v="1"/>
    <x v="4"/>
    <n v="867"/>
    <n v="542"/>
    <n v="1409"/>
    <n v="62091"/>
  </r>
  <r>
    <x v="102"/>
    <x v="102"/>
    <x v="2"/>
    <x v="4"/>
    <n v="967"/>
    <n v="675"/>
    <n v="1642"/>
    <n v="63733"/>
  </r>
  <r>
    <x v="103"/>
    <x v="103"/>
    <x v="3"/>
    <x v="4"/>
    <n v="134"/>
    <n v="-77"/>
    <n v="57"/>
    <n v="63790"/>
  </r>
  <r>
    <x v="104"/>
    <x v="104"/>
    <x v="4"/>
    <x v="4"/>
    <n v="879"/>
    <n v="491"/>
    <n v="1370"/>
    <n v="65160"/>
  </r>
  <r>
    <x v="105"/>
    <x v="105"/>
    <x v="0"/>
    <x v="4"/>
    <n v="126"/>
    <n v="-944"/>
    <n v="-818"/>
    <n v="64342"/>
  </r>
  <r>
    <x v="106"/>
    <x v="106"/>
    <x v="1"/>
    <x v="4"/>
    <n v="241"/>
    <n v="-682"/>
    <n v="-441"/>
    <n v="63901"/>
  </r>
  <r>
    <x v="107"/>
    <x v="107"/>
    <x v="2"/>
    <x v="4"/>
    <n v="942"/>
    <n v="499"/>
    <n v="1441"/>
    <n v="65342"/>
  </r>
  <r>
    <x v="108"/>
    <x v="108"/>
    <x v="3"/>
    <x v="5"/>
    <n v="159"/>
    <n v="-558"/>
    <n v="-399"/>
    <n v="64943"/>
  </r>
  <r>
    <x v="109"/>
    <x v="109"/>
    <x v="4"/>
    <x v="5"/>
    <n v="887"/>
    <n v="981"/>
    <n v="1868"/>
    <n v="66811"/>
  </r>
  <r>
    <x v="110"/>
    <x v="110"/>
    <x v="0"/>
    <x v="5"/>
    <n v="206"/>
    <n v="-482"/>
    <n v="-276"/>
    <n v="66535"/>
  </r>
  <r>
    <x v="111"/>
    <x v="111"/>
    <x v="1"/>
    <x v="5"/>
    <n v="828"/>
    <n v="-997"/>
    <n v="-169"/>
    <n v="66366"/>
  </r>
  <r>
    <x v="112"/>
    <x v="112"/>
    <x v="2"/>
    <x v="5"/>
    <n v="957"/>
    <n v="216"/>
    <n v="1173"/>
    <n v="67539"/>
  </r>
  <r>
    <x v="113"/>
    <x v="113"/>
    <x v="3"/>
    <x v="5"/>
    <n v="684"/>
    <n v="959"/>
    <n v="1643"/>
    <n v="69182"/>
  </r>
  <r>
    <x v="114"/>
    <x v="114"/>
    <x v="4"/>
    <x v="5"/>
    <n v="838"/>
    <n v="-240"/>
    <n v="598"/>
    <n v="69780"/>
  </r>
  <r>
    <x v="115"/>
    <x v="115"/>
    <x v="0"/>
    <x v="5"/>
    <n v="697"/>
    <n v="-878"/>
    <n v="-181"/>
    <n v="69599"/>
  </r>
  <r>
    <x v="116"/>
    <x v="116"/>
    <x v="1"/>
    <x v="5"/>
    <n v="888"/>
    <n v="-930"/>
    <n v="-42"/>
    <n v="69557"/>
  </r>
  <r>
    <x v="117"/>
    <x v="117"/>
    <x v="2"/>
    <x v="5"/>
    <n v="598"/>
    <n v="-717"/>
    <n v="-119"/>
    <n v="69438"/>
  </r>
  <r>
    <x v="118"/>
    <x v="118"/>
    <x v="3"/>
    <x v="5"/>
    <n v="450"/>
    <n v="202"/>
    <n v="652"/>
    <n v="70090"/>
  </r>
  <r>
    <x v="119"/>
    <x v="119"/>
    <x v="4"/>
    <x v="5"/>
    <n v="296"/>
    <n v="-15"/>
    <n v="281"/>
    <n v="70371"/>
  </r>
  <r>
    <x v="120"/>
    <x v="120"/>
    <x v="0"/>
    <x v="5"/>
    <n v="245"/>
    <n v="-432"/>
    <n v="-187"/>
    <n v="70184"/>
  </r>
  <r>
    <x v="121"/>
    <x v="121"/>
    <x v="1"/>
    <x v="5"/>
    <n v="557"/>
    <n v="746"/>
    <n v="1303"/>
    <n v="71487"/>
  </r>
  <r>
    <x v="122"/>
    <x v="122"/>
    <x v="2"/>
    <x v="5"/>
    <n v="196"/>
    <n v="353"/>
    <n v="549"/>
    <n v="72036"/>
  </r>
  <r>
    <x v="123"/>
    <x v="123"/>
    <x v="3"/>
    <x v="5"/>
    <n v="141"/>
    <n v="-44"/>
    <n v="97"/>
    <n v="72133"/>
  </r>
  <r>
    <x v="124"/>
    <x v="124"/>
    <x v="4"/>
    <x v="5"/>
    <n v="495"/>
    <n v="-964"/>
    <n v="-469"/>
    <n v="71664"/>
  </r>
  <r>
    <x v="125"/>
    <x v="125"/>
    <x v="0"/>
    <x v="5"/>
    <n v="631"/>
    <n v="577"/>
    <n v="1208"/>
    <n v="72872"/>
  </r>
  <r>
    <x v="126"/>
    <x v="126"/>
    <x v="1"/>
    <x v="5"/>
    <n v="793"/>
    <n v="541"/>
    <n v="1334"/>
    <n v="74206"/>
  </r>
  <r>
    <x v="127"/>
    <x v="127"/>
    <x v="2"/>
    <x v="5"/>
    <n v="426"/>
    <n v="200"/>
    <n v="626"/>
    <n v="74832"/>
  </r>
  <r>
    <x v="128"/>
    <x v="128"/>
    <x v="3"/>
    <x v="5"/>
    <n v="686"/>
    <n v="-772"/>
    <n v="-86"/>
    <n v="74746"/>
  </r>
  <r>
    <x v="129"/>
    <x v="129"/>
    <x v="4"/>
    <x v="6"/>
    <n v="503"/>
    <n v="226"/>
    <n v="729"/>
    <n v="75475"/>
  </r>
  <r>
    <x v="130"/>
    <x v="130"/>
    <x v="0"/>
    <x v="6"/>
    <n v="578"/>
    <n v="-146"/>
    <n v="432"/>
    <n v="75907"/>
  </r>
  <r>
    <x v="131"/>
    <x v="131"/>
    <x v="1"/>
    <x v="6"/>
    <n v="953"/>
    <n v="-695"/>
    <n v="258"/>
    <n v="76165"/>
  </r>
  <r>
    <x v="132"/>
    <x v="132"/>
    <x v="2"/>
    <x v="6"/>
    <n v="923"/>
    <n v="-138"/>
    <n v="785"/>
    <n v="76950"/>
  </r>
  <r>
    <x v="133"/>
    <x v="133"/>
    <x v="3"/>
    <x v="6"/>
    <n v="383"/>
    <n v="243"/>
    <n v="626"/>
    <n v="77576"/>
  </r>
  <r>
    <x v="134"/>
    <x v="134"/>
    <x v="4"/>
    <x v="6"/>
    <n v="495"/>
    <n v="261"/>
    <n v="756"/>
    <n v="78332"/>
  </r>
  <r>
    <x v="135"/>
    <x v="135"/>
    <x v="0"/>
    <x v="6"/>
    <n v="615"/>
    <n v="325"/>
    <n v="940"/>
    <n v="79272"/>
  </r>
  <r>
    <x v="136"/>
    <x v="136"/>
    <x v="1"/>
    <x v="6"/>
    <n v="756"/>
    <n v="-71"/>
    <n v="685"/>
    <n v="79957"/>
  </r>
  <r>
    <x v="137"/>
    <x v="137"/>
    <x v="2"/>
    <x v="6"/>
    <n v="498"/>
    <n v="453"/>
    <n v="951"/>
    <n v="80908"/>
  </r>
  <r>
    <x v="138"/>
    <x v="138"/>
    <x v="3"/>
    <x v="6"/>
    <n v="589"/>
    <n v="165"/>
    <n v="754"/>
    <n v="81662"/>
  </r>
  <r>
    <x v="139"/>
    <x v="139"/>
    <x v="4"/>
    <x v="6"/>
    <n v="659"/>
    <n v="1"/>
    <n v="660"/>
    <n v="82322"/>
  </r>
  <r>
    <x v="140"/>
    <x v="140"/>
    <x v="0"/>
    <x v="6"/>
    <n v="787"/>
    <n v="-157"/>
    <n v="630"/>
    <n v="82952"/>
  </r>
  <r>
    <x v="141"/>
    <x v="141"/>
    <x v="1"/>
    <x v="6"/>
    <n v="333"/>
    <n v="-946"/>
    <n v="-613"/>
    <n v="82339"/>
  </r>
  <r>
    <x v="142"/>
    <x v="142"/>
    <x v="2"/>
    <x v="6"/>
    <n v="270"/>
    <n v="576"/>
    <n v="846"/>
    <n v="83185"/>
  </r>
  <r>
    <x v="143"/>
    <x v="143"/>
    <x v="3"/>
    <x v="6"/>
    <n v="955"/>
    <n v="-316"/>
    <n v="639"/>
    <n v="83824"/>
  </r>
  <r>
    <x v="144"/>
    <x v="144"/>
    <x v="4"/>
    <x v="6"/>
    <n v="599"/>
    <n v="908"/>
    <n v="1507"/>
    <n v="85331"/>
  </r>
  <r>
    <x v="145"/>
    <x v="145"/>
    <x v="0"/>
    <x v="6"/>
    <n v="291"/>
    <n v="397"/>
    <n v="688"/>
    <n v="86019"/>
  </r>
  <r>
    <x v="146"/>
    <x v="146"/>
    <x v="1"/>
    <x v="6"/>
    <n v="260"/>
    <n v="723"/>
    <n v="983"/>
    <n v="87002"/>
  </r>
  <r>
    <x v="147"/>
    <x v="147"/>
    <x v="2"/>
    <x v="6"/>
    <n v="729"/>
    <n v="272"/>
    <n v="1001"/>
    <n v="88003"/>
  </r>
  <r>
    <x v="148"/>
    <x v="148"/>
    <x v="3"/>
    <x v="6"/>
    <n v="660"/>
    <n v="-306"/>
    <n v="354"/>
    <n v="88357"/>
  </r>
  <r>
    <x v="149"/>
    <x v="149"/>
    <x v="4"/>
    <x v="6"/>
    <n v="750"/>
    <n v="-757"/>
    <n v="-7"/>
    <n v="88350"/>
  </r>
  <r>
    <x v="150"/>
    <x v="150"/>
    <x v="0"/>
    <x v="6"/>
    <n v="614"/>
    <n v="474"/>
    <n v="1088"/>
    <n v="89438"/>
  </r>
  <r>
    <x v="151"/>
    <x v="151"/>
    <x v="1"/>
    <x v="6"/>
    <n v="810"/>
    <n v="-97"/>
    <n v="713"/>
    <n v="90151"/>
  </r>
  <r>
    <x v="152"/>
    <x v="152"/>
    <x v="2"/>
    <x v="7"/>
    <n v="665"/>
    <n v="366"/>
    <n v="1031"/>
    <n v="91182"/>
  </r>
  <r>
    <x v="153"/>
    <x v="153"/>
    <x v="3"/>
    <x v="7"/>
    <n v="204"/>
    <n v="-560"/>
    <n v="-356"/>
    <n v="90826"/>
  </r>
  <r>
    <x v="154"/>
    <x v="154"/>
    <x v="4"/>
    <x v="7"/>
    <n v="787"/>
    <n v="248"/>
    <n v="1035"/>
    <n v="91861"/>
  </r>
  <r>
    <x v="155"/>
    <x v="155"/>
    <x v="0"/>
    <x v="7"/>
    <n v="778"/>
    <n v="-738"/>
    <n v="40"/>
    <n v="91901"/>
  </r>
  <r>
    <x v="156"/>
    <x v="156"/>
    <x v="1"/>
    <x v="7"/>
    <n v="977"/>
    <n v="-594"/>
    <n v="383"/>
    <n v="92284"/>
  </r>
  <r>
    <x v="157"/>
    <x v="157"/>
    <x v="2"/>
    <x v="7"/>
    <n v="378"/>
    <n v="622"/>
    <n v="1000"/>
    <n v="93284"/>
  </r>
  <r>
    <x v="158"/>
    <x v="158"/>
    <x v="3"/>
    <x v="7"/>
    <n v="544"/>
    <n v="34"/>
    <n v="578"/>
    <n v="93862"/>
  </r>
  <r>
    <x v="159"/>
    <x v="159"/>
    <x v="4"/>
    <x v="7"/>
    <n v="831"/>
    <n v="-507"/>
    <n v="324"/>
    <n v="94186"/>
  </r>
  <r>
    <x v="160"/>
    <x v="160"/>
    <x v="0"/>
    <x v="7"/>
    <n v="914"/>
    <n v="-981"/>
    <n v="-67"/>
    <n v="94119"/>
  </r>
  <r>
    <x v="161"/>
    <x v="161"/>
    <x v="1"/>
    <x v="7"/>
    <n v="291"/>
    <n v="933"/>
    <n v="1224"/>
    <n v="95343"/>
  </r>
  <r>
    <x v="162"/>
    <x v="162"/>
    <x v="2"/>
    <x v="7"/>
    <n v="924"/>
    <n v="476"/>
    <n v="1400"/>
    <n v="96743"/>
  </r>
  <r>
    <x v="163"/>
    <x v="163"/>
    <x v="3"/>
    <x v="7"/>
    <n v="781"/>
    <n v="777"/>
    <n v="1558"/>
    <n v="98301"/>
  </r>
  <r>
    <x v="164"/>
    <x v="164"/>
    <x v="4"/>
    <x v="7"/>
    <n v="783"/>
    <n v="-589"/>
    <n v="194"/>
    <n v="98495"/>
  </r>
  <r>
    <x v="165"/>
    <x v="165"/>
    <x v="0"/>
    <x v="7"/>
    <n v="583"/>
    <n v="-363"/>
    <n v="220"/>
    <n v="98715"/>
  </r>
  <r>
    <x v="166"/>
    <x v="166"/>
    <x v="1"/>
    <x v="7"/>
    <n v="827"/>
    <n v="-347"/>
    <n v="480"/>
    <n v="99195"/>
  </r>
  <r>
    <x v="167"/>
    <x v="167"/>
    <x v="2"/>
    <x v="7"/>
    <n v="587"/>
    <n v="552"/>
    <n v="1139"/>
    <n v="100334"/>
  </r>
  <r>
    <x v="168"/>
    <x v="168"/>
    <x v="3"/>
    <x v="7"/>
    <n v="484"/>
    <n v="614"/>
    <n v="1098"/>
    <n v="101432"/>
  </r>
  <r>
    <x v="169"/>
    <x v="169"/>
    <x v="4"/>
    <x v="7"/>
    <n v="555"/>
    <n v="689"/>
    <n v="1244"/>
    <n v="102676"/>
  </r>
  <r>
    <x v="170"/>
    <x v="170"/>
    <x v="0"/>
    <x v="7"/>
    <n v="836"/>
    <n v="408"/>
    <n v="1244"/>
    <n v="103920"/>
  </r>
  <r>
    <x v="171"/>
    <x v="171"/>
    <x v="1"/>
    <x v="7"/>
    <n v="673"/>
    <n v="492"/>
    <n v="1165"/>
    <n v="105085"/>
  </r>
  <r>
    <x v="172"/>
    <x v="172"/>
    <x v="2"/>
    <x v="7"/>
    <n v="657"/>
    <n v="315"/>
    <n v="972"/>
    <n v="106057"/>
  </r>
  <r>
    <x v="173"/>
    <x v="173"/>
    <x v="3"/>
    <x v="8"/>
    <n v="421"/>
    <n v="-791"/>
    <n v="-370"/>
    <n v="105687"/>
  </r>
  <r>
    <x v="174"/>
    <x v="174"/>
    <x v="4"/>
    <x v="8"/>
    <n v="123"/>
    <n v="-481"/>
    <n v="-358"/>
    <n v="105329"/>
  </r>
  <r>
    <x v="175"/>
    <x v="175"/>
    <x v="0"/>
    <x v="8"/>
    <n v="913"/>
    <n v="721"/>
    <n v="1634"/>
    <n v="106963"/>
  </r>
  <r>
    <x v="176"/>
    <x v="176"/>
    <x v="1"/>
    <x v="8"/>
    <n v="510"/>
    <n v="-709"/>
    <n v="-199"/>
    <n v="106764"/>
  </r>
  <r>
    <x v="177"/>
    <x v="177"/>
    <x v="2"/>
    <x v="8"/>
    <n v="506"/>
    <n v="-170"/>
    <n v="336"/>
    <n v="107100"/>
  </r>
  <r>
    <x v="178"/>
    <x v="178"/>
    <x v="3"/>
    <x v="8"/>
    <n v="211"/>
    <n v="262"/>
    <n v="473"/>
    <n v="107573"/>
  </r>
  <r>
    <x v="179"/>
    <x v="179"/>
    <x v="4"/>
    <x v="8"/>
    <n v="966"/>
    <n v="-147"/>
    <n v="819"/>
    <n v="108392"/>
  </r>
  <r>
    <x v="180"/>
    <x v="180"/>
    <x v="0"/>
    <x v="8"/>
    <n v="932"/>
    <n v="661"/>
    <n v="1593"/>
    <n v="109985"/>
  </r>
  <r>
    <x v="181"/>
    <x v="181"/>
    <x v="1"/>
    <x v="8"/>
    <n v="570"/>
    <n v="861"/>
    <n v="1431"/>
    <n v="111416"/>
  </r>
  <r>
    <x v="182"/>
    <x v="182"/>
    <x v="2"/>
    <x v="8"/>
    <n v="853"/>
    <n v="385"/>
    <n v="1238"/>
    <n v="112654"/>
  </r>
  <r>
    <x v="183"/>
    <x v="183"/>
    <x v="3"/>
    <x v="8"/>
    <n v="482"/>
    <n v="559"/>
    <n v="1041"/>
    <n v="113695"/>
  </r>
  <r>
    <x v="184"/>
    <x v="184"/>
    <x v="4"/>
    <x v="8"/>
    <n v="798"/>
    <n v="-563"/>
    <n v="235"/>
    <n v="113930"/>
  </r>
  <r>
    <x v="185"/>
    <x v="185"/>
    <x v="0"/>
    <x v="8"/>
    <n v="116"/>
    <n v="820"/>
    <n v="936"/>
    <n v="114866"/>
  </r>
  <r>
    <x v="186"/>
    <x v="186"/>
    <x v="1"/>
    <x v="8"/>
    <n v="307"/>
    <n v="220"/>
    <n v="527"/>
    <n v="115393"/>
  </r>
  <r>
    <x v="187"/>
    <x v="187"/>
    <x v="2"/>
    <x v="8"/>
    <n v="946"/>
    <n v="149"/>
    <n v="1095"/>
    <n v="116488"/>
  </r>
  <r>
    <x v="188"/>
    <x v="188"/>
    <x v="3"/>
    <x v="8"/>
    <n v="862"/>
    <n v="-850"/>
    <n v="12"/>
    <n v="116500"/>
  </r>
  <r>
    <x v="189"/>
    <x v="189"/>
    <x v="4"/>
    <x v="8"/>
    <n v="123"/>
    <n v="-317"/>
    <n v="-194"/>
    <n v="116306"/>
  </r>
  <r>
    <x v="190"/>
    <x v="190"/>
    <x v="0"/>
    <x v="8"/>
    <n v="554"/>
    <n v="-377"/>
    <n v="177"/>
    <n v="116483"/>
  </r>
  <r>
    <x v="191"/>
    <x v="191"/>
    <x v="1"/>
    <x v="8"/>
    <n v="400"/>
    <n v="203"/>
    <n v="603"/>
    <n v="117086"/>
  </r>
  <r>
    <x v="192"/>
    <x v="192"/>
    <x v="2"/>
    <x v="8"/>
    <n v="619"/>
    <n v="-416"/>
    <n v="203"/>
    <n v="117289"/>
  </r>
  <r>
    <x v="193"/>
    <x v="193"/>
    <x v="3"/>
    <x v="8"/>
    <n v="449"/>
    <n v="-435"/>
    <n v="14"/>
    <n v="117303"/>
  </r>
  <r>
    <x v="194"/>
    <x v="194"/>
    <x v="4"/>
    <x v="8"/>
    <n v="939"/>
    <n v="674"/>
    <n v="1613"/>
    <n v="118916"/>
  </r>
  <r>
    <x v="195"/>
    <x v="195"/>
    <x v="0"/>
    <x v="9"/>
    <n v="863"/>
    <n v="-864"/>
    <n v="-1"/>
    <n v="118915"/>
  </r>
  <r>
    <x v="196"/>
    <x v="196"/>
    <x v="1"/>
    <x v="9"/>
    <n v="251"/>
    <n v="312"/>
    <n v="563"/>
    <n v="119478"/>
  </r>
  <r>
    <x v="197"/>
    <x v="197"/>
    <x v="2"/>
    <x v="9"/>
    <n v="881"/>
    <n v="231"/>
    <n v="1112"/>
    <n v="120590"/>
  </r>
  <r>
    <x v="198"/>
    <x v="198"/>
    <x v="3"/>
    <x v="9"/>
    <n v="294"/>
    <n v="-866"/>
    <n v="-572"/>
    <n v="120018"/>
  </r>
  <r>
    <x v="199"/>
    <x v="199"/>
    <x v="4"/>
    <x v="9"/>
    <n v="364"/>
    <n v="-802"/>
    <n v="-438"/>
    <n v="119580"/>
  </r>
  <r>
    <x v="200"/>
    <x v="200"/>
    <x v="0"/>
    <x v="9"/>
    <n v="633"/>
    <n v="123"/>
    <n v="756"/>
    <n v="120336"/>
  </r>
  <r>
    <x v="201"/>
    <x v="201"/>
    <x v="1"/>
    <x v="9"/>
    <n v="339"/>
    <n v="351"/>
    <n v="690"/>
    <n v="121026"/>
  </r>
  <r>
    <x v="202"/>
    <x v="202"/>
    <x v="2"/>
    <x v="9"/>
    <n v="197"/>
    <n v="933"/>
    <n v="1130"/>
    <n v="122156"/>
  </r>
  <r>
    <x v="203"/>
    <x v="203"/>
    <x v="3"/>
    <x v="9"/>
    <n v="709"/>
    <n v="-430"/>
    <n v="279"/>
    <n v="122435"/>
  </r>
  <r>
    <x v="204"/>
    <x v="204"/>
    <x v="4"/>
    <x v="9"/>
    <n v="888"/>
    <n v="-433"/>
    <n v="455"/>
    <n v="122890"/>
  </r>
  <r>
    <x v="205"/>
    <x v="205"/>
    <x v="0"/>
    <x v="9"/>
    <n v="924"/>
    <n v="744"/>
    <n v="1668"/>
    <n v="124558"/>
  </r>
  <r>
    <x v="206"/>
    <x v="206"/>
    <x v="1"/>
    <x v="9"/>
    <n v="385"/>
    <n v="-341"/>
    <n v="44"/>
    <n v="124602"/>
  </r>
  <r>
    <x v="207"/>
    <x v="207"/>
    <x v="2"/>
    <x v="9"/>
    <n v="537"/>
    <n v="-800"/>
    <n v="-263"/>
    <n v="124339"/>
  </r>
  <r>
    <x v="208"/>
    <x v="208"/>
    <x v="3"/>
    <x v="9"/>
    <n v="591"/>
    <n v="375"/>
    <n v="966"/>
    <n v="125305"/>
  </r>
  <r>
    <x v="209"/>
    <x v="209"/>
    <x v="4"/>
    <x v="9"/>
    <n v="535"/>
    <n v="389"/>
    <n v="924"/>
    <n v="126229"/>
  </r>
  <r>
    <x v="210"/>
    <x v="210"/>
    <x v="0"/>
    <x v="9"/>
    <n v="188"/>
    <n v="201"/>
    <n v="389"/>
    <n v="126618"/>
  </r>
  <r>
    <x v="211"/>
    <x v="211"/>
    <x v="1"/>
    <x v="9"/>
    <n v="634"/>
    <n v="-62"/>
    <n v="572"/>
    <n v="127190"/>
  </r>
  <r>
    <x v="212"/>
    <x v="212"/>
    <x v="2"/>
    <x v="9"/>
    <n v="641"/>
    <n v="-342"/>
    <n v="299"/>
    <n v="127489"/>
  </r>
  <r>
    <x v="213"/>
    <x v="213"/>
    <x v="3"/>
    <x v="9"/>
    <n v="341"/>
    <n v="76"/>
    <n v="417"/>
    <n v="127906"/>
  </r>
  <r>
    <x v="214"/>
    <x v="214"/>
    <x v="4"/>
    <x v="9"/>
    <n v="298"/>
    <n v="605"/>
    <n v="903"/>
    <n v="128809"/>
  </r>
  <r>
    <x v="215"/>
    <x v="215"/>
    <x v="0"/>
    <x v="9"/>
    <n v="328"/>
    <n v="520"/>
    <n v="848"/>
    <n v="129657"/>
  </r>
  <r>
    <x v="216"/>
    <x v="216"/>
    <x v="1"/>
    <x v="9"/>
    <n v="753"/>
    <n v="-587"/>
    <n v="166"/>
    <n v="129823"/>
  </r>
  <r>
    <x v="217"/>
    <x v="217"/>
    <x v="2"/>
    <x v="9"/>
    <n v="596"/>
    <n v="-799"/>
    <n v="-203"/>
    <n v="129620"/>
  </r>
  <r>
    <x v="218"/>
    <x v="218"/>
    <x v="3"/>
    <x v="10"/>
    <n v="290"/>
    <n v="-351"/>
    <n v="-61"/>
    <n v="129559"/>
  </r>
  <r>
    <x v="219"/>
    <x v="219"/>
    <x v="4"/>
    <x v="10"/>
    <n v="260"/>
    <n v="-16"/>
    <n v="244"/>
    <n v="129803"/>
  </r>
  <r>
    <x v="220"/>
    <x v="220"/>
    <x v="0"/>
    <x v="10"/>
    <n v="124"/>
    <n v="982"/>
    <n v="1106"/>
    <n v="130909"/>
  </r>
  <r>
    <x v="221"/>
    <x v="221"/>
    <x v="1"/>
    <x v="10"/>
    <n v="333"/>
    <n v="-722"/>
    <n v="-389"/>
    <n v="130520"/>
  </r>
  <r>
    <x v="222"/>
    <x v="222"/>
    <x v="2"/>
    <x v="10"/>
    <n v="860"/>
    <n v="-405"/>
    <n v="455"/>
    <n v="130975"/>
  </r>
  <r>
    <x v="223"/>
    <x v="223"/>
    <x v="3"/>
    <x v="10"/>
    <n v="121"/>
    <n v="972"/>
    <n v="1093"/>
    <n v="132068"/>
  </r>
  <r>
    <x v="224"/>
    <x v="224"/>
    <x v="4"/>
    <x v="10"/>
    <n v="353"/>
    <n v="749"/>
    <n v="1102"/>
    <n v="133170"/>
  </r>
  <r>
    <x v="225"/>
    <x v="225"/>
    <x v="0"/>
    <x v="10"/>
    <n v="551"/>
    <n v="-439"/>
    <n v="112"/>
    <n v="133282"/>
  </r>
  <r>
    <x v="226"/>
    <x v="226"/>
    <x v="1"/>
    <x v="10"/>
    <n v="880"/>
    <n v="70"/>
    <n v="950"/>
    <n v="134232"/>
  </r>
  <r>
    <x v="227"/>
    <x v="227"/>
    <x v="2"/>
    <x v="10"/>
    <n v="300"/>
    <n v="248"/>
    <n v="548"/>
    <n v="134780"/>
  </r>
  <r>
    <x v="228"/>
    <x v="228"/>
    <x v="3"/>
    <x v="10"/>
    <n v="161"/>
    <n v="-958"/>
    <n v="-797"/>
    <n v="133983"/>
  </r>
  <r>
    <x v="229"/>
    <x v="229"/>
    <x v="4"/>
    <x v="10"/>
    <n v="200"/>
    <n v="795"/>
    <n v="995"/>
    <n v="134978"/>
  </r>
  <r>
    <x v="230"/>
    <x v="230"/>
    <x v="0"/>
    <x v="10"/>
    <n v="830"/>
    <n v="-12"/>
    <n v="818"/>
    <n v="135796"/>
  </r>
  <r>
    <x v="231"/>
    <x v="231"/>
    <x v="1"/>
    <x v="10"/>
    <n v="984"/>
    <n v="253"/>
    <n v="1237"/>
    <n v="137033"/>
  </r>
  <r>
    <x v="232"/>
    <x v="232"/>
    <x v="2"/>
    <x v="10"/>
    <n v="771"/>
    <n v="-255"/>
    <n v="516"/>
    <n v="137549"/>
  </r>
  <r>
    <x v="233"/>
    <x v="233"/>
    <x v="3"/>
    <x v="10"/>
    <n v="724"/>
    <n v="-300"/>
    <n v="424"/>
    <n v="137973"/>
  </r>
  <r>
    <x v="234"/>
    <x v="234"/>
    <x v="4"/>
    <x v="10"/>
    <n v="982"/>
    <n v="744"/>
    <n v="1726"/>
    <n v="139699"/>
  </r>
  <r>
    <x v="235"/>
    <x v="235"/>
    <x v="0"/>
    <x v="10"/>
    <n v="874"/>
    <n v="-140"/>
    <n v="734"/>
    <n v="140433"/>
  </r>
  <r>
    <x v="236"/>
    <x v="236"/>
    <x v="1"/>
    <x v="10"/>
    <n v="233"/>
    <n v="442"/>
    <n v="675"/>
    <n v="141108"/>
  </r>
  <r>
    <x v="237"/>
    <x v="237"/>
    <x v="2"/>
    <x v="10"/>
    <n v="497"/>
    <n v="-588"/>
    <n v="-91"/>
    <n v="141017"/>
  </r>
  <r>
    <x v="238"/>
    <x v="238"/>
    <x v="3"/>
    <x v="11"/>
    <n v="899"/>
    <n v="115"/>
    <n v="1014"/>
    <n v="142031"/>
  </r>
  <r>
    <x v="239"/>
    <x v="239"/>
    <x v="4"/>
    <x v="11"/>
    <n v="564"/>
    <n v="-757"/>
    <n v="-193"/>
    <n v="141838"/>
  </r>
  <r>
    <x v="240"/>
    <x v="240"/>
    <x v="0"/>
    <x v="11"/>
    <n v="647"/>
    <n v="-819"/>
    <n v="-172"/>
    <n v="141666"/>
  </r>
  <r>
    <x v="241"/>
    <x v="241"/>
    <x v="1"/>
    <x v="11"/>
    <n v="737"/>
    <n v="-899"/>
    <n v="-162"/>
    <n v="141504"/>
  </r>
  <r>
    <x v="242"/>
    <x v="242"/>
    <x v="2"/>
    <x v="11"/>
    <n v="646"/>
    <n v="119"/>
    <n v="765"/>
    <n v="142269"/>
  </r>
  <r>
    <x v="243"/>
    <x v="243"/>
    <x v="3"/>
    <x v="11"/>
    <n v="496"/>
    <n v="195"/>
    <n v="691"/>
    <n v="142960"/>
  </r>
  <r>
    <x v="244"/>
    <x v="244"/>
    <x v="4"/>
    <x v="11"/>
    <n v="690"/>
    <n v="-588"/>
    <n v="102"/>
    <n v="143062"/>
  </r>
  <r>
    <x v="245"/>
    <x v="245"/>
    <x v="0"/>
    <x v="11"/>
    <n v="528"/>
    <n v="-398"/>
    <n v="130"/>
    <n v="143192"/>
  </r>
  <r>
    <x v="246"/>
    <x v="246"/>
    <x v="1"/>
    <x v="11"/>
    <n v="832"/>
    <n v="-111"/>
    <n v="721"/>
    <n v="143913"/>
  </r>
  <r>
    <x v="247"/>
    <x v="247"/>
    <x v="2"/>
    <x v="11"/>
    <n v="210"/>
    <n v="-410"/>
    <n v="-200"/>
    <n v="143713"/>
  </r>
  <r>
    <x v="248"/>
    <x v="248"/>
    <x v="3"/>
    <x v="11"/>
    <n v="299"/>
    <n v="-421"/>
    <n v="-122"/>
    <n v="143591"/>
  </r>
  <r>
    <x v="249"/>
    <x v="249"/>
    <x v="4"/>
    <x v="11"/>
    <n v="768"/>
    <n v="-942"/>
    <n v="-174"/>
    <n v="1434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x v="0"/>
    <x v="0"/>
    <n v="17448"/>
    <n v="797"/>
    <n v="18245"/>
    <n v="18245"/>
  </r>
  <r>
    <x v="1"/>
    <x v="1"/>
    <x v="1"/>
    <x v="0"/>
    <n v="1988"/>
    <n v="22966"/>
    <n v="24954"/>
    <n v="43199"/>
  </r>
  <r>
    <x v="2"/>
    <x v="2"/>
    <x v="2"/>
    <x v="0"/>
    <n v="13571"/>
    <n v="20948"/>
    <n v="34519"/>
    <n v="77718"/>
  </r>
  <r>
    <x v="3"/>
    <x v="3"/>
    <x v="3"/>
    <x v="0"/>
    <n v="-445"/>
    <n v="28881"/>
    <n v="28436"/>
    <n v="106154"/>
  </r>
  <r>
    <x v="4"/>
    <x v="4"/>
    <x v="4"/>
    <x v="0"/>
    <n v="-19071"/>
    <n v="-385"/>
    <n v="-19456"/>
    <n v="86698"/>
  </r>
  <r>
    <x v="5"/>
    <x v="5"/>
    <x v="0"/>
    <x v="0"/>
    <n v="30214"/>
    <n v="26001"/>
    <n v="56215"/>
    <n v="142913"/>
  </r>
  <r>
    <x v="6"/>
    <x v="6"/>
    <x v="1"/>
    <x v="0"/>
    <n v="32793"/>
    <n v="17517"/>
    <n v="50310"/>
    <n v="193223"/>
  </r>
  <r>
    <x v="7"/>
    <x v="7"/>
    <x v="2"/>
    <x v="0"/>
    <n v="23817"/>
    <n v="589"/>
    <n v="24406"/>
    <n v="217629"/>
  </r>
  <r>
    <x v="8"/>
    <x v="8"/>
    <x v="3"/>
    <x v="0"/>
    <n v="-12576"/>
    <n v="21314"/>
    <n v="8738"/>
    <n v="226367"/>
  </r>
  <r>
    <x v="9"/>
    <x v="9"/>
    <x v="4"/>
    <x v="0"/>
    <n v="24978"/>
    <n v="16381"/>
    <n v="41359"/>
    <n v="267726"/>
  </r>
  <r>
    <x v="10"/>
    <x v="10"/>
    <x v="0"/>
    <x v="0"/>
    <n v="26517"/>
    <n v="-15665"/>
    <n v="10852"/>
    <n v="278578"/>
  </r>
  <r>
    <x v="11"/>
    <x v="11"/>
    <x v="1"/>
    <x v="0"/>
    <n v="-1811"/>
    <n v="2039"/>
    <n v="228"/>
    <n v="278806"/>
  </r>
  <r>
    <x v="12"/>
    <x v="12"/>
    <x v="2"/>
    <x v="0"/>
    <n v="15981"/>
    <n v="28442"/>
    <n v="44423"/>
    <n v="323229"/>
  </r>
  <r>
    <x v="13"/>
    <x v="13"/>
    <x v="3"/>
    <x v="0"/>
    <n v="-5122"/>
    <n v="-10848"/>
    <n v="-15970"/>
    <n v="307259"/>
  </r>
  <r>
    <x v="14"/>
    <x v="14"/>
    <x v="4"/>
    <x v="0"/>
    <n v="284"/>
    <n v="34483"/>
    <n v="34767"/>
    <n v="342026"/>
  </r>
  <r>
    <x v="15"/>
    <x v="15"/>
    <x v="0"/>
    <x v="0"/>
    <n v="-19554"/>
    <n v="656"/>
    <n v="-18898"/>
    <n v="323128"/>
  </r>
  <r>
    <x v="16"/>
    <x v="16"/>
    <x v="1"/>
    <x v="0"/>
    <n v="-14087"/>
    <n v="-10640"/>
    <n v="-24727"/>
    <n v="298401"/>
  </r>
  <r>
    <x v="17"/>
    <x v="17"/>
    <x v="2"/>
    <x v="0"/>
    <n v="19559"/>
    <n v="-10992"/>
    <n v="8567"/>
    <n v="306968"/>
  </r>
  <r>
    <x v="18"/>
    <x v="18"/>
    <x v="3"/>
    <x v="0"/>
    <n v="25121"/>
    <n v="-13644"/>
    <n v="11477"/>
    <n v="318445"/>
  </r>
  <r>
    <x v="19"/>
    <x v="19"/>
    <x v="4"/>
    <x v="0"/>
    <n v="31936"/>
    <n v="26960"/>
    <n v="58896"/>
    <n v="377341"/>
  </r>
  <r>
    <x v="20"/>
    <x v="20"/>
    <x v="0"/>
    <x v="0"/>
    <n v="7945"/>
    <n v="-4866"/>
    <n v="3079"/>
    <n v="380420"/>
  </r>
  <r>
    <x v="21"/>
    <x v="21"/>
    <x v="1"/>
    <x v="0"/>
    <n v="-4405"/>
    <n v="1425"/>
    <n v="-2980"/>
    <n v="377440"/>
  </r>
  <r>
    <x v="22"/>
    <x v="22"/>
    <x v="2"/>
    <x v="0"/>
    <n v="-4705"/>
    <n v="-2666"/>
    <n v="-7371"/>
    <n v="370069"/>
  </r>
  <r>
    <x v="23"/>
    <x v="23"/>
    <x v="3"/>
    <x v="1"/>
    <n v="-11751"/>
    <n v="782"/>
    <n v="-10969"/>
    <n v="359100"/>
  </r>
  <r>
    <x v="24"/>
    <x v="24"/>
    <x v="4"/>
    <x v="1"/>
    <n v="-12001"/>
    <n v="16073"/>
    <n v="4072"/>
    <n v="363172"/>
  </r>
  <r>
    <x v="25"/>
    <x v="25"/>
    <x v="0"/>
    <x v="1"/>
    <n v="12584"/>
    <n v="22610"/>
    <n v="35194"/>
    <n v="398366"/>
  </r>
  <r>
    <x v="26"/>
    <x v="26"/>
    <x v="1"/>
    <x v="1"/>
    <n v="8602"/>
    <n v="-9066"/>
    <n v="-464"/>
    <n v="397902"/>
  </r>
  <r>
    <x v="27"/>
    <x v="27"/>
    <x v="2"/>
    <x v="1"/>
    <n v="-12670"/>
    <n v="33830"/>
    <n v="21160"/>
    <n v="419062"/>
  </r>
  <r>
    <x v="28"/>
    <x v="28"/>
    <x v="3"/>
    <x v="1"/>
    <n v="-2940"/>
    <n v="23829"/>
    <n v="20889"/>
    <n v="439951"/>
  </r>
  <r>
    <x v="29"/>
    <x v="29"/>
    <x v="4"/>
    <x v="1"/>
    <n v="-18980"/>
    <n v="-8266"/>
    <n v="-27246"/>
    <n v="412705"/>
  </r>
  <r>
    <x v="30"/>
    <x v="30"/>
    <x v="0"/>
    <x v="1"/>
    <n v="378"/>
    <n v="-6022"/>
    <n v="-5644"/>
    <n v="407061"/>
  </r>
  <r>
    <x v="31"/>
    <x v="31"/>
    <x v="1"/>
    <x v="1"/>
    <n v="25325"/>
    <n v="16462"/>
    <n v="41787"/>
    <n v="448848"/>
  </r>
  <r>
    <x v="32"/>
    <x v="32"/>
    <x v="2"/>
    <x v="1"/>
    <n v="6923"/>
    <n v="18640"/>
    <n v="25563"/>
    <n v="474411"/>
  </r>
  <r>
    <x v="33"/>
    <x v="33"/>
    <x v="3"/>
    <x v="1"/>
    <n v="9088"/>
    <n v="23073"/>
    <n v="32161"/>
    <n v="506572"/>
  </r>
  <r>
    <x v="34"/>
    <x v="34"/>
    <x v="4"/>
    <x v="1"/>
    <n v="31201"/>
    <n v="24827"/>
    <n v="56028"/>
    <n v="562600"/>
  </r>
  <r>
    <x v="35"/>
    <x v="35"/>
    <x v="0"/>
    <x v="1"/>
    <n v="22722"/>
    <n v="3090"/>
    <n v="25812"/>
    <n v="588412"/>
  </r>
  <r>
    <x v="36"/>
    <x v="36"/>
    <x v="1"/>
    <x v="1"/>
    <n v="-15389"/>
    <n v="-2822"/>
    <n v="-18211"/>
    <n v="570201"/>
  </r>
  <r>
    <x v="37"/>
    <x v="37"/>
    <x v="2"/>
    <x v="1"/>
    <n v="-19060"/>
    <n v="16805"/>
    <n v="-2255"/>
    <n v="567946"/>
  </r>
  <r>
    <x v="38"/>
    <x v="38"/>
    <x v="3"/>
    <x v="1"/>
    <n v="-6615"/>
    <n v="-11311"/>
    <n v="-17926"/>
    <n v="550020"/>
  </r>
  <r>
    <x v="39"/>
    <x v="39"/>
    <x v="4"/>
    <x v="1"/>
    <n v="1870"/>
    <n v="1364"/>
    <n v="3234"/>
    <n v="553254"/>
  </r>
  <r>
    <x v="40"/>
    <x v="40"/>
    <x v="0"/>
    <x v="1"/>
    <n v="15275"/>
    <n v="-11410"/>
    <n v="3865"/>
    <n v="557119"/>
  </r>
  <r>
    <x v="41"/>
    <x v="41"/>
    <x v="1"/>
    <x v="1"/>
    <n v="-8023"/>
    <n v="13045"/>
    <n v="5022"/>
    <n v="562141"/>
  </r>
  <r>
    <x v="42"/>
    <x v="42"/>
    <x v="2"/>
    <x v="1"/>
    <n v="-19150"/>
    <n v="26738"/>
    <n v="7588"/>
    <n v="569729"/>
  </r>
  <r>
    <x v="43"/>
    <x v="43"/>
    <x v="3"/>
    <x v="2"/>
    <n v="-16775"/>
    <n v="30795"/>
    <n v="14020"/>
    <n v="583749"/>
  </r>
  <r>
    <x v="44"/>
    <x v="44"/>
    <x v="4"/>
    <x v="2"/>
    <n v="33041"/>
    <n v="21769"/>
    <n v="54810"/>
    <n v="638559"/>
  </r>
  <r>
    <x v="45"/>
    <x v="45"/>
    <x v="0"/>
    <x v="2"/>
    <n v="-1811"/>
    <n v="14025"/>
    <n v="12214"/>
    <n v="650773"/>
  </r>
  <r>
    <x v="46"/>
    <x v="46"/>
    <x v="1"/>
    <x v="2"/>
    <n v="-13072"/>
    <n v="1800"/>
    <n v="-11272"/>
    <n v="639501"/>
  </r>
  <r>
    <x v="47"/>
    <x v="47"/>
    <x v="2"/>
    <x v="2"/>
    <n v="17738"/>
    <n v="29253"/>
    <n v="46991"/>
    <n v="686492"/>
  </r>
  <r>
    <x v="48"/>
    <x v="48"/>
    <x v="3"/>
    <x v="2"/>
    <n v="2416"/>
    <n v="19367"/>
    <n v="21783"/>
    <n v="708275"/>
  </r>
  <r>
    <x v="49"/>
    <x v="49"/>
    <x v="4"/>
    <x v="2"/>
    <n v="10869"/>
    <n v="10981"/>
    <n v="21850"/>
    <n v="730125"/>
  </r>
  <r>
    <x v="50"/>
    <x v="50"/>
    <x v="0"/>
    <x v="2"/>
    <n v="30307"/>
    <n v="-5142"/>
    <n v="25165"/>
    <n v="755290"/>
  </r>
  <r>
    <x v="51"/>
    <x v="51"/>
    <x v="1"/>
    <x v="2"/>
    <n v="-17965"/>
    <n v="-6279"/>
    <n v="-24244"/>
    <n v="731046"/>
  </r>
  <r>
    <x v="52"/>
    <x v="52"/>
    <x v="2"/>
    <x v="2"/>
    <n v="20210"/>
    <n v="18854"/>
    <n v="39064"/>
    <n v="770110"/>
  </r>
  <r>
    <x v="53"/>
    <x v="53"/>
    <x v="3"/>
    <x v="2"/>
    <n v="26476"/>
    <n v="-1677"/>
    <n v="24799"/>
    <n v="794909"/>
  </r>
  <r>
    <x v="54"/>
    <x v="54"/>
    <x v="4"/>
    <x v="2"/>
    <n v="12964"/>
    <n v="-3496"/>
    <n v="9468"/>
    <n v="804377"/>
  </r>
  <r>
    <x v="55"/>
    <x v="55"/>
    <x v="0"/>
    <x v="2"/>
    <n v="-17191"/>
    <n v="-6085"/>
    <n v="-23276"/>
    <n v="781101"/>
  </r>
  <r>
    <x v="56"/>
    <x v="56"/>
    <x v="1"/>
    <x v="2"/>
    <n v="10128"/>
    <n v="-463"/>
    <n v="9665"/>
    <n v="790766"/>
  </r>
  <r>
    <x v="57"/>
    <x v="57"/>
    <x v="2"/>
    <x v="2"/>
    <n v="26384"/>
    <n v="32298"/>
    <n v="58682"/>
    <n v="849448"/>
  </r>
  <r>
    <x v="58"/>
    <x v="58"/>
    <x v="3"/>
    <x v="2"/>
    <n v="22201"/>
    <n v="1699"/>
    <n v="23900"/>
    <n v="873348"/>
  </r>
  <r>
    <x v="59"/>
    <x v="59"/>
    <x v="4"/>
    <x v="2"/>
    <n v="-19173"/>
    <n v="14862"/>
    <n v="-4311"/>
    <n v="869037"/>
  </r>
  <r>
    <x v="60"/>
    <x v="60"/>
    <x v="0"/>
    <x v="2"/>
    <n v="6079"/>
    <n v="-6673"/>
    <n v="-594"/>
    <n v="868443"/>
  </r>
  <r>
    <x v="61"/>
    <x v="61"/>
    <x v="1"/>
    <x v="2"/>
    <n v="-2553"/>
    <n v="27013"/>
    <n v="24460"/>
    <n v="892903"/>
  </r>
  <r>
    <x v="62"/>
    <x v="62"/>
    <x v="2"/>
    <x v="2"/>
    <n v="-3127"/>
    <n v="-9228"/>
    <n v="-12355"/>
    <n v="880548"/>
  </r>
  <r>
    <x v="63"/>
    <x v="63"/>
    <x v="3"/>
    <x v="2"/>
    <n v="-17728"/>
    <n v="-7722"/>
    <n v="-25450"/>
    <n v="855098"/>
  </r>
  <r>
    <x v="64"/>
    <x v="64"/>
    <x v="4"/>
    <x v="3"/>
    <n v="-11933"/>
    <n v="16874"/>
    <n v="4941"/>
    <n v="860039"/>
  </r>
  <r>
    <x v="65"/>
    <x v="65"/>
    <x v="0"/>
    <x v="3"/>
    <n v="24512"/>
    <n v="21201"/>
    <n v="45713"/>
    <n v="905752"/>
  </r>
  <r>
    <x v="66"/>
    <x v="66"/>
    <x v="1"/>
    <x v="3"/>
    <n v="32481"/>
    <n v="3385"/>
    <n v="35866"/>
    <n v="941618"/>
  </r>
  <r>
    <x v="67"/>
    <x v="67"/>
    <x v="2"/>
    <x v="3"/>
    <n v="3638"/>
    <n v="-19751"/>
    <n v="-16113"/>
    <n v="925505"/>
  </r>
  <r>
    <x v="68"/>
    <x v="68"/>
    <x v="3"/>
    <x v="3"/>
    <n v="18698"/>
    <n v="29604"/>
    <n v="48302"/>
    <n v="973807"/>
  </r>
  <r>
    <x v="69"/>
    <x v="69"/>
    <x v="4"/>
    <x v="3"/>
    <n v="14213"/>
    <n v="25033"/>
    <n v="39246"/>
    <n v="1013053"/>
  </r>
  <r>
    <x v="70"/>
    <x v="70"/>
    <x v="0"/>
    <x v="3"/>
    <n v="2369"/>
    <n v="15960"/>
    <n v="18329"/>
    <n v="1031382"/>
  </r>
  <r>
    <x v="71"/>
    <x v="71"/>
    <x v="1"/>
    <x v="3"/>
    <n v="3159"/>
    <n v="27873"/>
    <n v="31032"/>
    <n v="1062414"/>
  </r>
  <r>
    <x v="72"/>
    <x v="72"/>
    <x v="2"/>
    <x v="3"/>
    <n v="8286"/>
    <n v="2878"/>
    <n v="11164"/>
    <n v="1073578"/>
  </r>
  <r>
    <x v="73"/>
    <x v="73"/>
    <x v="3"/>
    <x v="3"/>
    <n v="-9270"/>
    <n v="-17696"/>
    <n v="-26966"/>
    <n v="1046612"/>
  </r>
  <r>
    <x v="74"/>
    <x v="74"/>
    <x v="4"/>
    <x v="3"/>
    <n v="-1397"/>
    <n v="8653"/>
    <n v="7256"/>
    <n v="1053868"/>
  </r>
  <r>
    <x v="75"/>
    <x v="75"/>
    <x v="0"/>
    <x v="3"/>
    <n v="9854"/>
    <n v="23699"/>
    <n v="33553"/>
    <n v="1087421"/>
  </r>
  <r>
    <x v="76"/>
    <x v="76"/>
    <x v="1"/>
    <x v="3"/>
    <n v="21807"/>
    <n v="3907"/>
    <n v="25714"/>
    <n v="1113135"/>
  </r>
  <r>
    <x v="77"/>
    <x v="77"/>
    <x v="2"/>
    <x v="3"/>
    <n v="3622"/>
    <n v="6830"/>
    <n v="10452"/>
    <n v="1123587"/>
  </r>
  <r>
    <x v="78"/>
    <x v="78"/>
    <x v="3"/>
    <x v="3"/>
    <n v="1899"/>
    <n v="5463"/>
    <n v="7362"/>
    <n v="1130949"/>
  </r>
  <r>
    <x v="79"/>
    <x v="79"/>
    <x v="4"/>
    <x v="3"/>
    <n v="-16299"/>
    <n v="25371"/>
    <n v="9072"/>
    <n v="1140021"/>
  </r>
  <r>
    <x v="80"/>
    <x v="80"/>
    <x v="0"/>
    <x v="3"/>
    <n v="10256"/>
    <n v="23747"/>
    <n v="34003"/>
    <n v="1174024"/>
  </r>
  <r>
    <x v="81"/>
    <x v="81"/>
    <x v="1"/>
    <x v="3"/>
    <n v="11530"/>
    <n v="9287"/>
    <n v="20817"/>
    <n v="1194841"/>
  </r>
  <r>
    <x v="82"/>
    <x v="82"/>
    <x v="2"/>
    <x v="3"/>
    <n v="32502"/>
    <n v="16130"/>
    <n v="48632"/>
    <n v="1243473"/>
  </r>
  <r>
    <x v="83"/>
    <x v="83"/>
    <x v="3"/>
    <x v="3"/>
    <n v="1353"/>
    <n v="-911"/>
    <n v="442"/>
    <n v="1243915"/>
  </r>
  <r>
    <x v="84"/>
    <x v="84"/>
    <x v="4"/>
    <x v="3"/>
    <n v="9958"/>
    <n v="-15462"/>
    <n v="-5504"/>
    <n v="1238411"/>
  </r>
  <r>
    <x v="85"/>
    <x v="85"/>
    <x v="0"/>
    <x v="3"/>
    <n v="9277"/>
    <n v="17958"/>
    <n v="27235"/>
    <n v="1265646"/>
  </r>
  <r>
    <x v="86"/>
    <x v="86"/>
    <x v="1"/>
    <x v="4"/>
    <n v="25986"/>
    <n v="11460"/>
    <n v="37446"/>
    <n v="1303092"/>
  </r>
  <r>
    <x v="87"/>
    <x v="87"/>
    <x v="2"/>
    <x v="4"/>
    <n v="28538"/>
    <n v="25757"/>
    <n v="54295"/>
    <n v="1357387"/>
  </r>
  <r>
    <x v="88"/>
    <x v="88"/>
    <x v="3"/>
    <x v="4"/>
    <n v="-16180"/>
    <n v="-6121"/>
    <n v="-22301"/>
    <n v="1335086"/>
  </r>
  <r>
    <x v="89"/>
    <x v="89"/>
    <x v="4"/>
    <x v="4"/>
    <n v="-13295"/>
    <n v="-9206"/>
    <n v="-22501"/>
    <n v="1312585"/>
  </r>
  <r>
    <x v="90"/>
    <x v="90"/>
    <x v="0"/>
    <x v="4"/>
    <n v="15696"/>
    <n v="3509"/>
    <n v="19205"/>
    <n v="1331790"/>
  </r>
  <r>
    <x v="91"/>
    <x v="91"/>
    <x v="1"/>
    <x v="4"/>
    <n v="31272"/>
    <n v="10283"/>
    <n v="41555"/>
    <n v="1373345"/>
  </r>
  <r>
    <x v="92"/>
    <x v="92"/>
    <x v="2"/>
    <x v="4"/>
    <n v="11096"/>
    <n v="9927"/>
    <n v="21023"/>
    <n v="1394368"/>
  </r>
  <r>
    <x v="93"/>
    <x v="93"/>
    <x v="3"/>
    <x v="4"/>
    <n v="31962"/>
    <n v="-15702"/>
    <n v="16260"/>
    <n v="1410628"/>
  </r>
  <r>
    <x v="94"/>
    <x v="94"/>
    <x v="4"/>
    <x v="4"/>
    <n v="-13806"/>
    <n v="-8388"/>
    <n v="-22194"/>
    <n v="1388434"/>
  </r>
  <r>
    <x v="95"/>
    <x v="95"/>
    <x v="0"/>
    <x v="4"/>
    <n v="7618"/>
    <n v="6103"/>
    <n v="13721"/>
    <n v="1402155"/>
  </r>
  <r>
    <x v="96"/>
    <x v="96"/>
    <x v="1"/>
    <x v="4"/>
    <n v="-17405"/>
    <n v="2868"/>
    <n v="-14537"/>
    <n v="1387618"/>
  </r>
  <r>
    <x v="97"/>
    <x v="97"/>
    <x v="2"/>
    <x v="4"/>
    <n v="16574"/>
    <n v="27942"/>
    <n v="44516"/>
    <n v="1432134"/>
  </r>
  <r>
    <x v="98"/>
    <x v="98"/>
    <x v="3"/>
    <x v="4"/>
    <n v="661"/>
    <n v="33796"/>
    <n v="34457"/>
    <n v="1466591"/>
  </r>
  <r>
    <x v="99"/>
    <x v="99"/>
    <x v="4"/>
    <x v="4"/>
    <n v="-3663"/>
    <n v="11455"/>
    <n v="7792"/>
    <n v="1474383"/>
  </r>
  <r>
    <x v="100"/>
    <x v="100"/>
    <x v="0"/>
    <x v="4"/>
    <n v="-13386"/>
    <n v="8342"/>
    <n v="-5044"/>
    <n v="1469339"/>
  </r>
  <r>
    <x v="101"/>
    <x v="101"/>
    <x v="1"/>
    <x v="4"/>
    <n v="-7915"/>
    <n v="11564"/>
    <n v="3649"/>
    <n v="1472988"/>
  </r>
  <r>
    <x v="102"/>
    <x v="102"/>
    <x v="2"/>
    <x v="4"/>
    <n v="17362"/>
    <n v="34335"/>
    <n v="51697"/>
    <n v="1524685"/>
  </r>
  <r>
    <x v="103"/>
    <x v="103"/>
    <x v="3"/>
    <x v="4"/>
    <n v="27977"/>
    <n v="18904"/>
    <n v="46881"/>
    <n v="1571566"/>
  </r>
  <r>
    <x v="104"/>
    <x v="104"/>
    <x v="4"/>
    <x v="4"/>
    <n v="20435"/>
    <n v="21757"/>
    <n v="42192"/>
    <n v="1613758"/>
  </r>
  <r>
    <x v="105"/>
    <x v="105"/>
    <x v="0"/>
    <x v="4"/>
    <n v="14058"/>
    <n v="13861"/>
    <n v="27919"/>
    <n v="1641677"/>
  </r>
  <r>
    <x v="106"/>
    <x v="106"/>
    <x v="1"/>
    <x v="4"/>
    <n v="30107"/>
    <n v="-10364"/>
    <n v="19743"/>
    <n v="1661420"/>
  </r>
  <r>
    <x v="107"/>
    <x v="107"/>
    <x v="2"/>
    <x v="4"/>
    <n v="24187"/>
    <n v="-2847"/>
    <n v="21340"/>
    <n v="1682760"/>
  </r>
  <r>
    <x v="108"/>
    <x v="108"/>
    <x v="3"/>
    <x v="5"/>
    <n v="20416"/>
    <n v="26311"/>
    <n v="46727"/>
    <n v="1729487"/>
  </r>
  <r>
    <x v="109"/>
    <x v="109"/>
    <x v="4"/>
    <x v="5"/>
    <n v="18956"/>
    <n v="27392"/>
    <n v="46348"/>
    <n v="1775835"/>
  </r>
  <r>
    <x v="110"/>
    <x v="110"/>
    <x v="0"/>
    <x v="5"/>
    <n v="-19382"/>
    <n v="13834"/>
    <n v="-5548"/>
    <n v="1770287"/>
  </r>
  <r>
    <x v="111"/>
    <x v="111"/>
    <x v="1"/>
    <x v="5"/>
    <n v="-10696"/>
    <n v="18004"/>
    <n v="7308"/>
    <n v="1777595"/>
  </r>
  <r>
    <x v="112"/>
    <x v="112"/>
    <x v="2"/>
    <x v="5"/>
    <n v="-3448"/>
    <n v="7516"/>
    <n v="4068"/>
    <n v="1781663"/>
  </r>
  <r>
    <x v="113"/>
    <x v="113"/>
    <x v="3"/>
    <x v="5"/>
    <n v="29029"/>
    <n v="27618"/>
    <n v="56647"/>
    <n v="1838310"/>
  </r>
  <r>
    <x v="114"/>
    <x v="114"/>
    <x v="4"/>
    <x v="5"/>
    <n v="735"/>
    <n v="22692"/>
    <n v="23427"/>
    <n v="1861737"/>
  </r>
  <r>
    <x v="115"/>
    <x v="115"/>
    <x v="0"/>
    <x v="5"/>
    <n v="-5597"/>
    <n v="-14908"/>
    <n v="-20505"/>
    <n v="1841232"/>
  </r>
  <r>
    <x v="116"/>
    <x v="116"/>
    <x v="1"/>
    <x v="5"/>
    <n v="29009"/>
    <n v="-15432"/>
    <n v="13577"/>
    <n v="1854809"/>
  </r>
  <r>
    <x v="117"/>
    <x v="117"/>
    <x v="2"/>
    <x v="5"/>
    <n v="3057"/>
    <n v="25233"/>
    <n v="28290"/>
    <n v="1883099"/>
  </r>
  <r>
    <x v="118"/>
    <x v="118"/>
    <x v="3"/>
    <x v="5"/>
    <n v="-12720"/>
    <n v="-6985"/>
    <n v="-19705"/>
    <n v="1863394"/>
  </r>
  <r>
    <x v="119"/>
    <x v="119"/>
    <x v="4"/>
    <x v="5"/>
    <n v="-13059"/>
    <n v="33017"/>
    <n v="19958"/>
    <n v="1883352"/>
  </r>
  <r>
    <x v="120"/>
    <x v="120"/>
    <x v="0"/>
    <x v="5"/>
    <n v="5436"/>
    <n v="25743"/>
    <n v="31179"/>
    <n v="1914531"/>
  </r>
  <r>
    <x v="121"/>
    <x v="121"/>
    <x v="1"/>
    <x v="5"/>
    <n v="19510"/>
    <n v="-9157"/>
    <n v="10353"/>
    <n v="1924884"/>
  </r>
  <r>
    <x v="122"/>
    <x v="122"/>
    <x v="2"/>
    <x v="5"/>
    <n v="27375"/>
    <n v="15501"/>
    <n v="42876"/>
    <n v="1967760"/>
  </r>
  <r>
    <x v="123"/>
    <x v="123"/>
    <x v="3"/>
    <x v="5"/>
    <n v="17128"/>
    <n v="-7855"/>
    <n v="9273"/>
    <n v="1977033"/>
  </r>
  <r>
    <x v="124"/>
    <x v="124"/>
    <x v="4"/>
    <x v="5"/>
    <n v="26487"/>
    <n v="5112"/>
    <n v="31599"/>
    <n v="2008632"/>
  </r>
  <r>
    <x v="125"/>
    <x v="125"/>
    <x v="0"/>
    <x v="5"/>
    <n v="-9944"/>
    <n v="-1286"/>
    <n v="-11230"/>
    <n v="1997402"/>
  </r>
  <r>
    <x v="126"/>
    <x v="126"/>
    <x v="1"/>
    <x v="5"/>
    <n v="18165"/>
    <n v="-9541"/>
    <n v="8624"/>
    <n v="2006026"/>
  </r>
  <r>
    <x v="127"/>
    <x v="127"/>
    <x v="2"/>
    <x v="5"/>
    <n v="-14666"/>
    <n v="3135"/>
    <n v="-11531"/>
    <n v="1994495"/>
  </r>
  <r>
    <x v="128"/>
    <x v="128"/>
    <x v="3"/>
    <x v="5"/>
    <n v="-5611"/>
    <n v="3707"/>
    <n v="-1904"/>
    <n v="1992591"/>
  </r>
  <r>
    <x v="129"/>
    <x v="129"/>
    <x v="4"/>
    <x v="6"/>
    <n v="-19923"/>
    <n v="16487"/>
    <n v="-3436"/>
    <n v="1989155"/>
  </r>
  <r>
    <x v="130"/>
    <x v="130"/>
    <x v="0"/>
    <x v="6"/>
    <n v="8314"/>
    <n v="33421"/>
    <n v="41735"/>
    <n v="2030890"/>
  </r>
  <r>
    <x v="131"/>
    <x v="131"/>
    <x v="1"/>
    <x v="6"/>
    <n v="20763"/>
    <n v="23791"/>
    <n v="44554"/>
    <n v="2075444"/>
  </r>
  <r>
    <x v="132"/>
    <x v="132"/>
    <x v="2"/>
    <x v="6"/>
    <n v="32855"/>
    <n v="28385"/>
    <n v="61240"/>
    <n v="2136684"/>
  </r>
  <r>
    <x v="133"/>
    <x v="133"/>
    <x v="3"/>
    <x v="6"/>
    <n v="25665"/>
    <n v="20167"/>
    <n v="45832"/>
    <n v="2182516"/>
  </r>
  <r>
    <x v="134"/>
    <x v="134"/>
    <x v="4"/>
    <x v="6"/>
    <n v="-1711"/>
    <n v="17257"/>
    <n v="15546"/>
    <n v="2198062"/>
  </r>
  <r>
    <x v="135"/>
    <x v="135"/>
    <x v="0"/>
    <x v="6"/>
    <n v="-13463"/>
    <n v="-7985"/>
    <n v="-21448"/>
    <n v="2176614"/>
  </r>
  <r>
    <x v="136"/>
    <x v="136"/>
    <x v="1"/>
    <x v="6"/>
    <n v="-12149"/>
    <n v="-3598"/>
    <n v="-15747"/>
    <n v="2160867"/>
  </r>
  <r>
    <x v="137"/>
    <x v="137"/>
    <x v="2"/>
    <x v="6"/>
    <n v="4014"/>
    <n v="-3012"/>
    <n v="1002"/>
    <n v="2161869"/>
  </r>
  <r>
    <x v="138"/>
    <x v="138"/>
    <x v="3"/>
    <x v="6"/>
    <n v="24875"/>
    <n v="33058"/>
    <n v="57933"/>
    <n v="2219802"/>
  </r>
  <r>
    <x v="139"/>
    <x v="139"/>
    <x v="4"/>
    <x v="6"/>
    <n v="32129"/>
    <n v="31907"/>
    <n v="64036"/>
    <n v="2283838"/>
  </r>
  <r>
    <x v="140"/>
    <x v="140"/>
    <x v="0"/>
    <x v="6"/>
    <n v="-8164"/>
    <n v="3350"/>
    <n v="-4814"/>
    <n v="2279024"/>
  </r>
  <r>
    <x v="141"/>
    <x v="141"/>
    <x v="1"/>
    <x v="6"/>
    <n v="15265"/>
    <n v="-16362"/>
    <n v="-1097"/>
    <n v="2277927"/>
  </r>
  <r>
    <x v="142"/>
    <x v="142"/>
    <x v="2"/>
    <x v="6"/>
    <n v="-12142"/>
    <n v="13411"/>
    <n v="1269"/>
    <n v="2279196"/>
  </r>
  <r>
    <x v="143"/>
    <x v="143"/>
    <x v="3"/>
    <x v="6"/>
    <n v="3547"/>
    <n v="9762"/>
    <n v="13309"/>
    <n v="2292505"/>
  </r>
  <r>
    <x v="144"/>
    <x v="144"/>
    <x v="4"/>
    <x v="6"/>
    <n v="33462"/>
    <n v="-2645"/>
    <n v="30817"/>
    <n v="2323322"/>
  </r>
  <r>
    <x v="145"/>
    <x v="145"/>
    <x v="0"/>
    <x v="6"/>
    <n v="-1305"/>
    <n v="31516"/>
    <n v="30211"/>
    <n v="2353533"/>
  </r>
  <r>
    <x v="146"/>
    <x v="146"/>
    <x v="1"/>
    <x v="6"/>
    <n v="23933"/>
    <n v="23009"/>
    <n v="46942"/>
    <n v="2400475"/>
  </r>
  <r>
    <x v="147"/>
    <x v="147"/>
    <x v="2"/>
    <x v="6"/>
    <n v="34956"/>
    <n v="14263"/>
    <n v="49219"/>
    <n v="2449694"/>
  </r>
  <r>
    <x v="148"/>
    <x v="148"/>
    <x v="3"/>
    <x v="6"/>
    <n v="17801"/>
    <n v="7117"/>
    <n v="24918"/>
    <n v="2474612"/>
  </r>
  <r>
    <x v="149"/>
    <x v="149"/>
    <x v="4"/>
    <x v="6"/>
    <n v="15085"/>
    <n v="34949"/>
    <n v="50034"/>
    <n v="2524646"/>
  </r>
  <r>
    <x v="150"/>
    <x v="150"/>
    <x v="0"/>
    <x v="6"/>
    <n v="6335"/>
    <n v="-19637"/>
    <n v="-13302"/>
    <n v="2511344"/>
  </r>
  <r>
    <x v="151"/>
    <x v="151"/>
    <x v="1"/>
    <x v="6"/>
    <n v="6727"/>
    <n v="27884"/>
    <n v="34611"/>
    <n v="2545955"/>
  </r>
  <r>
    <x v="152"/>
    <x v="152"/>
    <x v="2"/>
    <x v="7"/>
    <n v="1036"/>
    <n v="-6949"/>
    <n v="-5913"/>
    <n v="2540042"/>
  </r>
  <r>
    <x v="153"/>
    <x v="153"/>
    <x v="3"/>
    <x v="7"/>
    <n v="1630"/>
    <n v="14260"/>
    <n v="15890"/>
    <n v="2555932"/>
  </r>
  <r>
    <x v="154"/>
    <x v="154"/>
    <x v="4"/>
    <x v="7"/>
    <n v="-9943"/>
    <n v="22501"/>
    <n v="12558"/>
    <n v="2568490"/>
  </r>
  <r>
    <x v="155"/>
    <x v="155"/>
    <x v="0"/>
    <x v="7"/>
    <n v="-609"/>
    <n v="33027"/>
    <n v="32418"/>
    <n v="2600908"/>
  </r>
  <r>
    <x v="156"/>
    <x v="156"/>
    <x v="1"/>
    <x v="7"/>
    <n v="18217"/>
    <n v="13734"/>
    <n v="31951"/>
    <n v="2632859"/>
  </r>
  <r>
    <x v="157"/>
    <x v="157"/>
    <x v="2"/>
    <x v="7"/>
    <n v="10427"/>
    <n v="32369"/>
    <n v="42796"/>
    <n v="2675655"/>
  </r>
  <r>
    <x v="158"/>
    <x v="158"/>
    <x v="3"/>
    <x v="7"/>
    <n v="11881"/>
    <n v="6685"/>
    <n v="18566"/>
    <n v="2694221"/>
  </r>
  <r>
    <x v="159"/>
    <x v="159"/>
    <x v="4"/>
    <x v="7"/>
    <n v="18203"/>
    <n v="12741"/>
    <n v="30944"/>
    <n v="2725165"/>
  </r>
  <r>
    <x v="160"/>
    <x v="160"/>
    <x v="0"/>
    <x v="7"/>
    <n v="-4669"/>
    <n v="-1324"/>
    <n v="-5993"/>
    <n v="2719172"/>
  </r>
  <r>
    <x v="161"/>
    <x v="161"/>
    <x v="1"/>
    <x v="7"/>
    <n v="27337"/>
    <n v="-36"/>
    <n v="27301"/>
    <n v="2746473"/>
  </r>
  <r>
    <x v="162"/>
    <x v="162"/>
    <x v="2"/>
    <x v="7"/>
    <n v="32593"/>
    <n v="-2225"/>
    <n v="30368"/>
    <n v="2776841"/>
  </r>
  <r>
    <x v="163"/>
    <x v="163"/>
    <x v="3"/>
    <x v="7"/>
    <n v="-12334"/>
    <n v="26849"/>
    <n v="14515"/>
    <n v="2791356"/>
  </r>
  <r>
    <x v="164"/>
    <x v="164"/>
    <x v="4"/>
    <x v="7"/>
    <n v="34396"/>
    <n v="-3020"/>
    <n v="31376"/>
    <n v="2822732"/>
  </r>
  <r>
    <x v="165"/>
    <x v="165"/>
    <x v="0"/>
    <x v="7"/>
    <n v="-5881"/>
    <n v="-11703"/>
    <n v="-17584"/>
    <n v="2805148"/>
  </r>
  <r>
    <x v="166"/>
    <x v="166"/>
    <x v="1"/>
    <x v="7"/>
    <n v="2126"/>
    <n v="12578"/>
    <n v="14704"/>
    <n v="2819852"/>
  </r>
  <r>
    <x v="167"/>
    <x v="167"/>
    <x v="2"/>
    <x v="7"/>
    <n v="23224"/>
    <n v="33618"/>
    <n v="56842"/>
    <n v="2876694"/>
  </r>
  <r>
    <x v="168"/>
    <x v="168"/>
    <x v="3"/>
    <x v="7"/>
    <n v="23921"/>
    <n v="-6908"/>
    <n v="17013"/>
    <n v="2893707"/>
  </r>
  <r>
    <x v="169"/>
    <x v="169"/>
    <x v="4"/>
    <x v="7"/>
    <n v="-15089"/>
    <n v="-147"/>
    <n v="-15236"/>
    <n v="2878471"/>
  </r>
  <r>
    <x v="170"/>
    <x v="170"/>
    <x v="0"/>
    <x v="7"/>
    <n v="21644"/>
    <n v="11423"/>
    <n v="33067"/>
    <n v="2911538"/>
  </r>
  <r>
    <x v="171"/>
    <x v="171"/>
    <x v="1"/>
    <x v="7"/>
    <n v="2283"/>
    <n v="-15029"/>
    <n v="-12746"/>
    <n v="2898792"/>
  </r>
  <r>
    <x v="172"/>
    <x v="172"/>
    <x v="2"/>
    <x v="7"/>
    <n v="-18729"/>
    <n v="-3939"/>
    <n v="-22668"/>
    <n v="2876124"/>
  </r>
  <r>
    <x v="173"/>
    <x v="173"/>
    <x v="3"/>
    <x v="8"/>
    <n v="8083"/>
    <n v="15844"/>
    <n v="23927"/>
    <n v="2900051"/>
  </r>
  <r>
    <x v="174"/>
    <x v="174"/>
    <x v="4"/>
    <x v="8"/>
    <n v="14223"/>
    <n v="22673"/>
    <n v="36896"/>
    <n v="2936947"/>
  </r>
  <r>
    <x v="175"/>
    <x v="175"/>
    <x v="0"/>
    <x v="8"/>
    <n v="11619"/>
    <n v="17368"/>
    <n v="28987"/>
    <n v="2965934"/>
  </r>
  <r>
    <x v="176"/>
    <x v="176"/>
    <x v="1"/>
    <x v="8"/>
    <n v="-2272"/>
    <n v="7138"/>
    <n v="4866"/>
    <n v="2970800"/>
  </r>
  <r>
    <x v="177"/>
    <x v="177"/>
    <x v="2"/>
    <x v="8"/>
    <n v="5796"/>
    <n v="16204"/>
    <n v="22000"/>
    <n v="2992800"/>
  </r>
  <r>
    <x v="178"/>
    <x v="178"/>
    <x v="3"/>
    <x v="8"/>
    <n v="24095"/>
    <n v="17790"/>
    <n v="41885"/>
    <n v="3034685"/>
  </r>
  <r>
    <x v="179"/>
    <x v="179"/>
    <x v="4"/>
    <x v="8"/>
    <n v="25353"/>
    <n v="14730"/>
    <n v="40083"/>
    <n v="3074768"/>
  </r>
  <r>
    <x v="180"/>
    <x v="180"/>
    <x v="0"/>
    <x v="8"/>
    <n v="-749"/>
    <n v="10401"/>
    <n v="9652"/>
    <n v="3084420"/>
  </r>
  <r>
    <x v="181"/>
    <x v="181"/>
    <x v="1"/>
    <x v="8"/>
    <n v="4989"/>
    <n v="-18235"/>
    <n v="-13246"/>
    <n v="3071174"/>
  </r>
  <r>
    <x v="182"/>
    <x v="182"/>
    <x v="2"/>
    <x v="8"/>
    <n v="-88"/>
    <n v="14903"/>
    <n v="14815"/>
    <n v="3085989"/>
  </r>
  <r>
    <x v="183"/>
    <x v="183"/>
    <x v="3"/>
    <x v="8"/>
    <n v="9437"/>
    <n v="8788"/>
    <n v="18225"/>
    <n v="3104214"/>
  </r>
  <r>
    <x v="184"/>
    <x v="184"/>
    <x v="4"/>
    <x v="8"/>
    <n v="12791"/>
    <n v="13312"/>
    <n v="26103"/>
    <n v="3130317"/>
  </r>
  <r>
    <x v="185"/>
    <x v="185"/>
    <x v="0"/>
    <x v="8"/>
    <n v="14899"/>
    <n v="29719"/>
    <n v="44618"/>
    <n v="3174935"/>
  </r>
  <r>
    <x v="186"/>
    <x v="186"/>
    <x v="1"/>
    <x v="8"/>
    <n v="16691"/>
    <n v="-3018"/>
    <n v="13673"/>
    <n v="3188608"/>
  </r>
  <r>
    <x v="187"/>
    <x v="187"/>
    <x v="2"/>
    <x v="8"/>
    <n v="3497"/>
    <n v="-11869"/>
    <n v="-8372"/>
    <n v="3180236"/>
  </r>
  <r>
    <x v="188"/>
    <x v="188"/>
    <x v="3"/>
    <x v="8"/>
    <n v="-9812"/>
    <n v="-13502"/>
    <n v="-23314"/>
    <n v="3156922"/>
  </r>
  <r>
    <x v="189"/>
    <x v="189"/>
    <x v="4"/>
    <x v="8"/>
    <n v="9372"/>
    <n v="13078"/>
    <n v="22450"/>
    <n v="3179372"/>
  </r>
  <r>
    <x v="190"/>
    <x v="190"/>
    <x v="0"/>
    <x v="8"/>
    <n v="-19002"/>
    <n v="-4409"/>
    <n v="-23411"/>
    <n v="3155961"/>
  </r>
  <r>
    <x v="191"/>
    <x v="191"/>
    <x v="1"/>
    <x v="8"/>
    <n v="-6520"/>
    <n v="-12957"/>
    <n v="-19477"/>
    <n v="3136484"/>
  </r>
  <r>
    <x v="192"/>
    <x v="192"/>
    <x v="2"/>
    <x v="8"/>
    <n v="-5008"/>
    <n v="20076"/>
    <n v="15068"/>
    <n v="3151552"/>
  </r>
  <r>
    <x v="193"/>
    <x v="193"/>
    <x v="3"/>
    <x v="8"/>
    <n v="-10730"/>
    <n v="-3482"/>
    <n v="-14212"/>
    <n v="3137340"/>
  </r>
  <r>
    <x v="194"/>
    <x v="194"/>
    <x v="4"/>
    <x v="8"/>
    <n v="-5370"/>
    <n v="16602"/>
    <n v="11232"/>
    <n v="3148572"/>
  </r>
  <r>
    <x v="195"/>
    <x v="195"/>
    <x v="0"/>
    <x v="9"/>
    <n v="-15768"/>
    <n v="10724"/>
    <n v="-5044"/>
    <n v="3143528"/>
  </r>
  <r>
    <x v="196"/>
    <x v="196"/>
    <x v="1"/>
    <x v="9"/>
    <n v="12500"/>
    <n v="2762"/>
    <n v="15262"/>
    <n v="3158790"/>
  </r>
  <r>
    <x v="197"/>
    <x v="197"/>
    <x v="2"/>
    <x v="9"/>
    <n v="5382"/>
    <n v="9889"/>
    <n v="15271"/>
    <n v="3174061"/>
  </r>
  <r>
    <x v="198"/>
    <x v="198"/>
    <x v="3"/>
    <x v="9"/>
    <n v="32649"/>
    <n v="27117"/>
    <n v="59766"/>
    <n v="3233827"/>
  </r>
  <r>
    <x v="199"/>
    <x v="199"/>
    <x v="4"/>
    <x v="9"/>
    <n v="7040"/>
    <n v="16429"/>
    <n v="23469"/>
    <n v="3257296"/>
  </r>
  <r>
    <x v="200"/>
    <x v="200"/>
    <x v="0"/>
    <x v="9"/>
    <n v="-14660"/>
    <n v="1226"/>
    <n v="-13434"/>
    <n v="3243862"/>
  </r>
  <r>
    <x v="201"/>
    <x v="201"/>
    <x v="1"/>
    <x v="9"/>
    <n v="-9204"/>
    <n v="-17170"/>
    <n v="-26374"/>
    <n v="3217488"/>
  </r>
  <r>
    <x v="202"/>
    <x v="202"/>
    <x v="2"/>
    <x v="9"/>
    <n v="8176"/>
    <n v="-879"/>
    <n v="7297"/>
    <n v="3224785"/>
  </r>
  <r>
    <x v="203"/>
    <x v="203"/>
    <x v="3"/>
    <x v="9"/>
    <n v="3388"/>
    <n v="2759"/>
    <n v="6147"/>
    <n v="3230932"/>
  </r>
  <r>
    <x v="204"/>
    <x v="204"/>
    <x v="4"/>
    <x v="9"/>
    <n v="9345"/>
    <n v="-8324"/>
    <n v="1021"/>
    <n v="3231953"/>
  </r>
  <r>
    <x v="205"/>
    <x v="205"/>
    <x v="0"/>
    <x v="9"/>
    <n v="-8893"/>
    <n v="26223"/>
    <n v="17330"/>
    <n v="3249283"/>
  </r>
  <r>
    <x v="206"/>
    <x v="206"/>
    <x v="1"/>
    <x v="9"/>
    <n v="-12599"/>
    <n v="-10000"/>
    <n v="-22599"/>
    <n v="3226684"/>
  </r>
  <r>
    <x v="207"/>
    <x v="207"/>
    <x v="2"/>
    <x v="9"/>
    <n v="13096"/>
    <n v="-16409"/>
    <n v="-3313"/>
    <n v="3223371"/>
  </r>
  <r>
    <x v="208"/>
    <x v="208"/>
    <x v="3"/>
    <x v="9"/>
    <n v="21007"/>
    <n v="-5404"/>
    <n v="15603"/>
    <n v="3238974"/>
  </r>
  <r>
    <x v="209"/>
    <x v="209"/>
    <x v="4"/>
    <x v="9"/>
    <n v="-5513"/>
    <n v="-1722"/>
    <n v="-7235"/>
    <n v="3231739"/>
  </r>
  <r>
    <x v="210"/>
    <x v="210"/>
    <x v="0"/>
    <x v="9"/>
    <n v="7178"/>
    <n v="12344"/>
    <n v="19522"/>
    <n v="3251261"/>
  </r>
  <r>
    <x v="211"/>
    <x v="211"/>
    <x v="1"/>
    <x v="9"/>
    <n v="19183"/>
    <n v="-7137"/>
    <n v="12046"/>
    <n v="3263307"/>
  </r>
  <r>
    <x v="212"/>
    <x v="212"/>
    <x v="2"/>
    <x v="9"/>
    <n v="33190"/>
    <n v="11130"/>
    <n v="44320"/>
    <n v="3307627"/>
  </r>
  <r>
    <x v="213"/>
    <x v="213"/>
    <x v="3"/>
    <x v="9"/>
    <n v="-14975"/>
    <n v="-4951"/>
    <n v="-19926"/>
    <n v="3287701"/>
  </r>
  <r>
    <x v="214"/>
    <x v="214"/>
    <x v="4"/>
    <x v="9"/>
    <n v="19371"/>
    <n v="12777"/>
    <n v="32148"/>
    <n v="3319849"/>
  </r>
  <r>
    <x v="215"/>
    <x v="215"/>
    <x v="0"/>
    <x v="9"/>
    <n v="31519"/>
    <n v="-6152"/>
    <n v="25367"/>
    <n v="3345216"/>
  </r>
  <r>
    <x v="216"/>
    <x v="216"/>
    <x v="1"/>
    <x v="9"/>
    <n v="33852"/>
    <n v="-9297"/>
    <n v="24555"/>
    <n v="3369771"/>
  </r>
  <r>
    <x v="217"/>
    <x v="217"/>
    <x v="2"/>
    <x v="9"/>
    <n v="-10174"/>
    <n v="6328"/>
    <n v="-3846"/>
    <n v="3365925"/>
  </r>
  <r>
    <x v="218"/>
    <x v="218"/>
    <x v="3"/>
    <x v="10"/>
    <n v="11319"/>
    <n v="1608"/>
    <n v="12927"/>
    <n v="3378852"/>
  </r>
  <r>
    <x v="219"/>
    <x v="219"/>
    <x v="4"/>
    <x v="10"/>
    <n v="12889"/>
    <n v="27051"/>
    <n v="39940"/>
    <n v="3418792"/>
  </r>
  <r>
    <x v="220"/>
    <x v="220"/>
    <x v="0"/>
    <x v="10"/>
    <n v="-18908"/>
    <n v="-14806"/>
    <n v="-33714"/>
    <n v="3385078"/>
  </r>
  <r>
    <x v="221"/>
    <x v="221"/>
    <x v="1"/>
    <x v="10"/>
    <n v="2477"/>
    <n v="9387"/>
    <n v="11864"/>
    <n v="3396942"/>
  </r>
  <r>
    <x v="222"/>
    <x v="222"/>
    <x v="2"/>
    <x v="10"/>
    <n v="-4928"/>
    <n v="-887"/>
    <n v="-5815"/>
    <n v="3391127"/>
  </r>
  <r>
    <x v="223"/>
    <x v="223"/>
    <x v="3"/>
    <x v="10"/>
    <n v="-18599"/>
    <n v="8718"/>
    <n v="-9881"/>
    <n v="3381246"/>
  </r>
  <r>
    <x v="224"/>
    <x v="224"/>
    <x v="4"/>
    <x v="10"/>
    <n v="10650"/>
    <n v="18625"/>
    <n v="29275"/>
    <n v="3410521"/>
  </r>
  <r>
    <x v="225"/>
    <x v="225"/>
    <x v="0"/>
    <x v="10"/>
    <n v="-12738"/>
    <n v="14875"/>
    <n v="2137"/>
    <n v="3412658"/>
  </r>
  <r>
    <x v="226"/>
    <x v="226"/>
    <x v="1"/>
    <x v="10"/>
    <n v="4497"/>
    <n v="6612"/>
    <n v="11109"/>
    <n v="3423767"/>
  </r>
  <r>
    <x v="227"/>
    <x v="227"/>
    <x v="2"/>
    <x v="10"/>
    <n v="28074"/>
    <n v="18483"/>
    <n v="46557"/>
    <n v="3470324"/>
  </r>
  <r>
    <x v="228"/>
    <x v="228"/>
    <x v="3"/>
    <x v="10"/>
    <n v="8844"/>
    <n v="-5310"/>
    <n v="3534"/>
    <n v="3473858"/>
  </r>
  <r>
    <x v="229"/>
    <x v="229"/>
    <x v="4"/>
    <x v="10"/>
    <n v="9815"/>
    <n v="20266"/>
    <n v="30081"/>
    <n v="3503939"/>
  </r>
  <r>
    <x v="230"/>
    <x v="230"/>
    <x v="0"/>
    <x v="10"/>
    <n v="10635"/>
    <n v="11223"/>
    <n v="21858"/>
    <n v="3525797"/>
  </r>
  <r>
    <x v="231"/>
    <x v="231"/>
    <x v="1"/>
    <x v="10"/>
    <n v="27360"/>
    <n v="21416"/>
    <n v="48776"/>
    <n v="3574573"/>
  </r>
  <r>
    <x v="232"/>
    <x v="232"/>
    <x v="2"/>
    <x v="10"/>
    <n v="486"/>
    <n v="22149"/>
    <n v="22635"/>
    <n v="3597208"/>
  </r>
  <r>
    <x v="233"/>
    <x v="233"/>
    <x v="3"/>
    <x v="10"/>
    <n v="13509"/>
    <n v="32930"/>
    <n v="46439"/>
    <n v="3643647"/>
  </r>
  <r>
    <x v="234"/>
    <x v="234"/>
    <x v="4"/>
    <x v="10"/>
    <n v="-501"/>
    <n v="-19731"/>
    <n v="-20232"/>
    <n v="3623415"/>
  </r>
  <r>
    <x v="235"/>
    <x v="235"/>
    <x v="0"/>
    <x v="10"/>
    <n v="-12724"/>
    <n v="3585"/>
    <n v="-9139"/>
    <n v="3614276"/>
  </r>
  <r>
    <x v="236"/>
    <x v="236"/>
    <x v="1"/>
    <x v="10"/>
    <n v="-12048"/>
    <n v="26746"/>
    <n v="14698"/>
    <n v="3628974"/>
  </r>
  <r>
    <x v="237"/>
    <x v="237"/>
    <x v="2"/>
    <x v="10"/>
    <n v="-12793"/>
    <n v="15224"/>
    <n v="2431"/>
    <n v="3631405"/>
  </r>
  <r>
    <x v="238"/>
    <x v="238"/>
    <x v="3"/>
    <x v="11"/>
    <n v="22799"/>
    <n v="23733"/>
    <n v="46532"/>
    <n v="3677937"/>
  </r>
  <r>
    <x v="239"/>
    <x v="239"/>
    <x v="4"/>
    <x v="11"/>
    <n v="-6805"/>
    <n v="11169"/>
    <n v="4364"/>
    <n v="3682301"/>
  </r>
  <r>
    <x v="240"/>
    <x v="240"/>
    <x v="0"/>
    <x v="11"/>
    <n v="2905"/>
    <n v="12603"/>
    <n v="15508"/>
    <n v="3697809"/>
  </r>
  <r>
    <x v="241"/>
    <x v="241"/>
    <x v="1"/>
    <x v="11"/>
    <n v="-7118"/>
    <n v="-13591"/>
    <n v="-20709"/>
    <n v="3677100"/>
  </r>
  <r>
    <x v="242"/>
    <x v="242"/>
    <x v="2"/>
    <x v="11"/>
    <n v="4242"/>
    <n v="33165"/>
    <n v="37407"/>
    <n v="3714507"/>
  </r>
  <r>
    <x v="243"/>
    <x v="243"/>
    <x v="3"/>
    <x v="11"/>
    <n v="9059"/>
    <n v="11092"/>
    <n v="20151"/>
    <n v="3734658"/>
  </r>
  <r>
    <x v="244"/>
    <x v="244"/>
    <x v="4"/>
    <x v="11"/>
    <n v="18397"/>
    <n v="13314"/>
    <n v="31711"/>
    <n v="3766369"/>
  </r>
  <r>
    <x v="245"/>
    <x v="245"/>
    <x v="0"/>
    <x v="11"/>
    <n v="13936"/>
    <n v="-16859"/>
    <n v="-2923"/>
    <n v="3763446"/>
  </r>
  <r>
    <x v="246"/>
    <x v="246"/>
    <x v="1"/>
    <x v="11"/>
    <n v="9136"/>
    <n v="20752"/>
    <n v="29888"/>
    <n v="3793334"/>
  </r>
  <r>
    <x v="247"/>
    <x v="247"/>
    <x v="2"/>
    <x v="11"/>
    <n v="-18444"/>
    <n v="6873"/>
    <n v="-11571"/>
    <n v="3781763"/>
  </r>
  <r>
    <x v="248"/>
    <x v="248"/>
    <x v="3"/>
    <x v="11"/>
    <n v="-14057"/>
    <n v="5809"/>
    <n v="-8248"/>
    <n v="3773515"/>
  </r>
  <r>
    <x v="249"/>
    <x v="249"/>
    <x v="4"/>
    <x v="11"/>
    <n v="-10437"/>
    <n v="33677"/>
    <n v="23240"/>
    <n v="37967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9F2E0-2704-4654-B207-83FAFC1CBA17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4" firstHeaderRow="1" firstDataRow="1" firstDataCol="1"/>
  <pivotFields count="10">
    <pivotField axis="axisRow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umFmtId="14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2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 t="grand">
      <x/>
    </i>
  </rowItems>
  <colItems count="1">
    <i/>
  </colItems>
  <dataFields count="1">
    <dataField name="Sum of Total Gross P&amp;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0A486-2F05-4F2D-8455-676A59AB8CB6}" name="PivotTable33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">
  <location ref="A3:B254" firstHeaderRow="1" firstDataRow="1" firstDataCol="1"/>
  <pivotFields count="10">
    <pivotField axis="axisRow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umFmtId="14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 t="grand">
      <x/>
    </i>
  </rowItems>
  <colItems count="1">
    <i/>
  </colItems>
  <dataFields count="1">
    <dataField name="Sum of Cumulative P&amp;L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DE641-04EA-4DDC-8A5B-27BBD0029388}" name="PivotTable2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8">
  <location ref="M2:N8" firstHeaderRow="1" firstDataRow="1" firstDataCol="1"/>
  <pivotFields count="10">
    <pivotField showAll="0"/>
    <pivotField numFmtId="14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Gross P&amp;L" fld="6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A8028-E8A8-4CA4-BD53-80702AE4D895}" name="PivotTable1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2">
  <location ref="D20:E33" firstHeaderRow="1" firstDataRow="1" firstDataCol="1"/>
  <pivotFields count="10">
    <pivotField showAll="0"/>
    <pivotField numFmtId="14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Gross P&amp;L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ECF7D-F33D-4374-8FC6-D5987F5897D1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5" firstHeaderRow="0" firstDataRow="1" firstDataCol="1"/>
  <pivotFields count="4">
    <pivotField axis="axisRow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lgo" fld="1" baseField="0" baseItem="0"/>
    <dataField name="Sum of Manual" fld="2" baseField="0" baseItem="0"/>
    <dataField name="Sum of Total Gross P&amp;L" fld="3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dashboar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A85E5-D53D-4F29-AF3D-8EA2862F3FF5}" name="Table1" displayName="Table1" ref="A1:K251" totalsRowShown="0">
  <autoFilter ref="A1:K251" xr:uid="{84CA85E5-D53D-4F29-AF3D-8EA2862F3FF5}"/>
  <tableColumns count="11">
    <tableColumn id="1" xr3:uid="{A30FA1FD-776C-48E3-84F2-AAB5D53AC96D}" name="Sr No"/>
    <tableColumn id="2" xr3:uid="{293C71FC-5AB3-4BBE-8D01-29CD343D976B}" name="Date" dataDxfId="4"/>
    <tableColumn id="3" xr3:uid="{6E2344CD-D194-4525-AFDD-4DAC45D97123}" name="Day"/>
    <tableColumn id="8" xr3:uid="{5F21FB76-5A32-4BF0-B286-C565694FC937}" name="Month" dataDxfId="3">
      <calculatedColumnFormula>TEXT(Table1[[#This Row],[Date]],"mmm")</calculatedColumnFormula>
    </tableColumn>
    <tableColumn id="4" xr3:uid="{C406BE1C-4D60-4A65-B8E6-3838236D4B49}" name="Algo"/>
    <tableColumn id="5" xr3:uid="{B2393350-9DDA-4DD7-8E97-BFA33B82397F}" name="Manual"/>
    <tableColumn id="6" xr3:uid="{569B182F-1F7B-4D0E-A5AB-DCFAE48DD910}" name="Total Gross P&amp;L">
      <calculatedColumnFormula>Table1[[#This Row],[Algo]]+Table1[[#This Row],[Manual]]</calculatedColumnFormula>
    </tableColumn>
    <tableColumn id="7" xr3:uid="{62DBB963-FC03-4FFC-9C79-EE5EE5F6420F}" name="Cumulative P&amp;L"/>
    <tableColumn id="9" xr3:uid="{558BF74A-16FE-4FEA-85FA-BA78CCC7579D}" name="Week" dataDxfId="2">
      <calculatedColumnFormula>WEEKNUM(Table1[[#This Row],[Date]])</calculatedColumnFormula>
    </tableColumn>
    <tableColumn id="10" xr3:uid="{05D953CB-89C5-418C-A124-4E4AA4F9B00C}" name="win st" dataDxfId="1">
      <calculatedColumnFormula>IF(G2&gt;0,1,0)</calculatedColumnFormula>
    </tableColumn>
    <tableColumn id="11" xr3:uid="{94327EBA-F251-472A-B18C-5F87126C0159}" name="loss st" dataDxfId="0">
      <calculatedColumnFormula>IF(G2&lt;0,1,0)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90391BB7-8178-4561-809F-0B7468C3CA5C}" sourceName="Date">
  <pivotTables>
    <pivotTable tabId="9" name="PivotTable2"/>
    <pivotTable tabId="9" name="PivotTable1"/>
    <pivotTable tabId="9" name="PivotTable33"/>
  </pivotTables>
  <state minimalRefreshVersion="6" lastRefreshVersion="6" pivotCacheId="73603646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88C24A84-D5B2-48E7-8ACE-DA18239EC756}" cache="NativeTimeline_Date" caption="Date" level="1" selectionLevel="1" scrollPosition="2025-01-01T00:00:00" style="Timeline Style 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CF9CCC71-4C0F-47BC-A37F-B76772BFC393}" cache="NativeTimeline_Date" caption="Date" level="2" selectionLevel="2" scrollPosition="2025-01-01T00:00:00" style="TimeSlicerStyleDark1"/>
</timelines>
</file>

<file path=xl/worksheets/_rels/sheet1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microsoft.com/office/2011/relationships/timeline" Target="../timelines/timeline2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D39E-71D3-4297-8E32-78CF183D0A85}">
  <dimension ref="H29"/>
  <sheetViews>
    <sheetView showGridLines="0" tabSelected="1" workbookViewId="0">
      <selection activeCell="J40" sqref="J40"/>
    </sheetView>
  </sheetViews>
  <sheetFormatPr defaultRowHeight="14.4" x14ac:dyDescent="0.3"/>
  <cols>
    <col min="1" max="16384" width="8.88671875" style="4"/>
  </cols>
  <sheetData>
    <row r="29" spans="8:8" x14ac:dyDescent="0.3">
      <c r="H29"/>
    </row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3DCE-9DB1-4A67-921E-93523EB400B4}">
  <dimension ref="A3:E254"/>
  <sheetViews>
    <sheetView workbookViewId="0">
      <selection activeCell="E3" sqref="E3:E253"/>
    </sheetView>
  </sheetViews>
  <sheetFormatPr defaultRowHeight="14.4" x14ac:dyDescent="0.3"/>
  <cols>
    <col min="1" max="1" width="12.5546875" bestFit="1" customWidth="1"/>
    <col min="2" max="2" width="20.77734375" bestFit="1" customWidth="1"/>
    <col min="3" max="8" width="8.77734375" bestFit="1" customWidth="1"/>
    <col min="9" max="24" width="9.77734375" bestFit="1" customWidth="1"/>
    <col min="25" max="29" width="8.77734375" bestFit="1" customWidth="1"/>
    <col min="30" max="44" width="9.77734375" bestFit="1" customWidth="1"/>
    <col min="45" max="49" width="8.77734375" bestFit="1" customWidth="1"/>
    <col min="50" max="65" width="9.77734375" bestFit="1" customWidth="1"/>
    <col min="66" max="72" width="8.77734375" bestFit="1" customWidth="1"/>
    <col min="73" max="87" width="9.77734375" bestFit="1" customWidth="1"/>
    <col min="88" max="94" width="8.77734375" bestFit="1" customWidth="1"/>
    <col min="95" max="109" width="9.77734375" bestFit="1" customWidth="1"/>
    <col min="110" max="115" width="8.77734375" bestFit="1" customWidth="1"/>
    <col min="116" max="130" width="9.77734375" bestFit="1" customWidth="1"/>
    <col min="131" max="137" width="8.77734375" bestFit="1" customWidth="1"/>
    <col min="138" max="153" width="9.77734375" bestFit="1" customWidth="1"/>
    <col min="154" max="159" width="8.77734375" bestFit="1" customWidth="1"/>
    <col min="160" max="174" width="9.77734375" bestFit="1" customWidth="1"/>
    <col min="175" max="181" width="8.77734375" bestFit="1" customWidth="1"/>
    <col min="182" max="203" width="9.77734375" bestFit="1" customWidth="1"/>
    <col min="204" max="219" width="10.77734375" bestFit="1" customWidth="1"/>
    <col min="220" max="224" width="9.77734375" bestFit="1" customWidth="1"/>
    <col min="225" max="239" width="10.77734375" bestFit="1" customWidth="1"/>
    <col min="240" max="246" width="9.77734375" bestFit="1" customWidth="1"/>
    <col min="247" max="252" width="10.77734375" bestFit="1" customWidth="1"/>
  </cols>
  <sheetData>
    <row r="3" spans="1:5" x14ac:dyDescent="0.3">
      <c r="A3" s="2" t="s">
        <v>12</v>
      </c>
      <c r="B3" t="s">
        <v>14</v>
      </c>
      <c r="E3" t="s">
        <v>26</v>
      </c>
    </row>
    <row r="4" spans="1:5" x14ac:dyDescent="0.3">
      <c r="A4" s="3">
        <v>1</v>
      </c>
      <c r="B4">
        <v>-496</v>
      </c>
      <c r="C4">
        <f>GETPIVOTDATA("Total Gross P&amp;L",$A$3,"Sr No",1)</f>
        <v>-496</v>
      </c>
      <c r="D4">
        <f>B4</f>
        <v>-496</v>
      </c>
      <c r="E4">
        <f>C4</f>
        <v>-496</v>
      </c>
    </row>
    <row r="5" spans="1:5" x14ac:dyDescent="0.3">
      <c r="A5" s="3">
        <v>2</v>
      </c>
      <c r="B5">
        <v>1126</v>
      </c>
      <c r="C5">
        <f>C4+B5</f>
        <v>630</v>
      </c>
      <c r="D5">
        <f t="shared" ref="D5:D68" si="0">B5</f>
        <v>1126</v>
      </c>
      <c r="E5">
        <f>-MAX(C$4:C5)+C5</f>
        <v>0</v>
      </c>
    </row>
    <row r="6" spans="1:5" x14ac:dyDescent="0.3">
      <c r="A6" s="3">
        <v>3</v>
      </c>
      <c r="B6">
        <v>885</v>
      </c>
      <c r="C6">
        <f t="shared" ref="C6:C69" si="1">C5+B6</f>
        <v>1515</v>
      </c>
      <c r="D6">
        <f t="shared" si="0"/>
        <v>885</v>
      </c>
      <c r="E6">
        <f>-MAX(C$4:C6)+C6</f>
        <v>0</v>
      </c>
    </row>
    <row r="7" spans="1:5" x14ac:dyDescent="0.3">
      <c r="A7" s="3">
        <v>4</v>
      </c>
      <c r="B7">
        <v>320</v>
      </c>
      <c r="C7">
        <f t="shared" si="1"/>
        <v>1835</v>
      </c>
      <c r="D7">
        <f t="shared" si="0"/>
        <v>320</v>
      </c>
      <c r="E7">
        <f>-MAX(C$4:C7)+C7</f>
        <v>0</v>
      </c>
    </row>
    <row r="8" spans="1:5" x14ac:dyDescent="0.3">
      <c r="A8" s="3">
        <v>5</v>
      </c>
      <c r="B8">
        <v>920</v>
      </c>
      <c r="C8">
        <f t="shared" si="1"/>
        <v>2755</v>
      </c>
      <c r="D8">
        <f t="shared" si="0"/>
        <v>920</v>
      </c>
      <c r="E8">
        <f>-MAX(C$4:C8)+C8</f>
        <v>0</v>
      </c>
    </row>
    <row r="9" spans="1:5" x14ac:dyDescent="0.3">
      <c r="A9" s="3">
        <v>6</v>
      </c>
      <c r="B9">
        <v>1243</v>
      </c>
      <c r="C9">
        <f t="shared" si="1"/>
        <v>3998</v>
      </c>
      <c r="D9">
        <f t="shared" si="0"/>
        <v>1243</v>
      </c>
      <c r="E9">
        <f>-MAX(C$4:C9)+C9</f>
        <v>0</v>
      </c>
    </row>
    <row r="10" spans="1:5" x14ac:dyDescent="0.3">
      <c r="A10" s="3">
        <v>7</v>
      </c>
      <c r="B10">
        <v>1202</v>
      </c>
      <c r="C10">
        <f t="shared" si="1"/>
        <v>5200</v>
      </c>
      <c r="D10">
        <f t="shared" si="0"/>
        <v>1202</v>
      </c>
      <c r="E10">
        <f>-MAX(C$4:C10)+C10</f>
        <v>0</v>
      </c>
    </row>
    <row r="11" spans="1:5" x14ac:dyDescent="0.3">
      <c r="A11" s="3">
        <v>8</v>
      </c>
      <c r="B11">
        <v>94</v>
      </c>
      <c r="C11">
        <f t="shared" si="1"/>
        <v>5294</v>
      </c>
      <c r="D11">
        <f t="shared" si="0"/>
        <v>94</v>
      </c>
      <c r="E11">
        <f>-MAX(C$4:C11)+C11</f>
        <v>0</v>
      </c>
    </row>
    <row r="12" spans="1:5" x14ac:dyDescent="0.3">
      <c r="A12" s="3">
        <v>9</v>
      </c>
      <c r="B12">
        <v>652</v>
      </c>
      <c r="C12">
        <f t="shared" si="1"/>
        <v>5946</v>
      </c>
      <c r="D12">
        <f t="shared" si="0"/>
        <v>652</v>
      </c>
      <c r="E12">
        <f>-MAX(C$4:C12)+C12</f>
        <v>0</v>
      </c>
    </row>
    <row r="13" spans="1:5" x14ac:dyDescent="0.3">
      <c r="A13" s="3">
        <v>10</v>
      </c>
      <c r="B13">
        <v>-434</v>
      </c>
      <c r="C13">
        <f t="shared" si="1"/>
        <v>5512</v>
      </c>
      <c r="D13">
        <f t="shared" si="0"/>
        <v>-434</v>
      </c>
      <c r="E13">
        <f>-MAX(C$4:C13)+C13</f>
        <v>-434</v>
      </c>
    </row>
    <row r="14" spans="1:5" x14ac:dyDescent="0.3">
      <c r="A14" s="3">
        <v>11</v>
      </c>
      <c r="B14">
        <v>646</v>
      </c>
      <c r="C14">
        <f t="shared" si="1"/>
        <v>6158</v>
      </c>
      <c r="D14">
        <f t="shared" si="0"/>
        <v>646</v>
      </c>
      <c r="E14">
        <f>-MAX(C$4:C14)+C14</f>
        <v>0</v>
      </c>
    </row>
    <row r="15" spans="1:5" x14ac:dyDescent="0.3">
      <c r="A15" s="3">
        <v>12</v>
      </c>
      <c r="B15">
        <v>705</v>
      </c>
      <c r="C15">
        <f t="shared" si="1"/>
        <v>6863</v>
      </c>
      <c r="D15">
        <f t="shared" si="0"/>
        <v>705</v>
      </c>
      <c r="E15">
        <f>-MAX(C$4:C15)+C15</f>
        <v>0</v>
      </c>
    </row>
    <row r="16" spans="1:5" x14ac:dyDescent="0.3">
      <c r="A16" s="3">
        <v>13</v>
      </c>
      <c r="B16">
        <v>-559</v>
      </c>
      <c r="C16">
        <f t="shared" si="1"/>
        <v>6304</v>
      </c>
      <c r="D16">
        <f t="shared" si="0"/>
        <v>-559</v>
      </c>
      <c r="E16">
        <f>-MAX(C$4:C16)+C16</f>
        <v>-559</v>
      </c>
    </row>
    <row r="17" spans="1:5" x14ac:dyDescent="0.3">
      <c r="A17" s="3">
        <v>14</v>
      </c>
      <c r="B17">
        <v>619</v>
      </c>
      <c r="C17">
        <f t="shared" si="1"/>
        <v>6923</v>
      </c>
      <c r="D17">
        <f t="shared" si="0"/>
        <v>619</v>
      </c>
      <c r="E17">
        <f>-MAX(C$4:C17)+C17</f>
        <v>0</v>
      </c>
    </row>
    <row r="18" spans="1:5" x14ac:dyDescent="0.3">
      <c r="A18" s="3">
        <v>15</v>
      </c>
      <c r="B18">
        <v>774</v>
      </c>
      <c r="C18">
        <f t="shared" si="1"/>
        <v>7697</v>
      </c>
      <c r="D18">
        <f t="shared" si="0"/>
        <v>774</v>
      </c>
      <c r="E18">
        <f>-MAX(C$4:C18)+C18</f>
        <v>0</v>
      </c>
    </row>
    <row r="19" spans="1:5" x14ac:dyDescent="0.3">
      <c r="A19" s="3">
        <v>16</v>
      </c>
      <c r="B19">
        <v>1433</v>
      </c>
      <c r="C19">
        <f t="shared" si="1"/>
        <v>9130</v>
      </c>
      <c r="D19">
        <f t="shared" si="0"/>
        <v>1433</v>
      </c>
      <c r="E19">
        <f>-MAX(C$4:C19)+C19</f>
        <v>0</v>
      </c>
    </row>
    <row r="20" spans="1:5" x14ac:dyDescent="0.3">
      <c r="A20" s="3">
        <v>17</v>
      </c>
      <c r="B20">
        <v>820</v>
      </c>
      <c r="C20">
        <f t="shared" si="1"/>
        <v>9950</v>
      </c>
      <c r="D20">
        <f t="shared" si="0"/>
        <v>820</v>
      </c>
      <c r="E20">
        <f>-MAX(C$4:C20)+C20</f>
        <v>0</v>
      </c>
    </row>
    <row r="21" spans="1:5" x14ac:dyDescent="0.3">
      <c r="A21" s="3">
        <v>18</v>
      </c>
      <c r="B21">
        <v>1098</v>
      </c>
      <c r="C21">
        <f t="shared" si="1"/>
        <v>11048</v>
      </c>
      <c r="D21">
        <f t="shared" si="0"/>
        <v>1098</v>
      </c>
      <c r="E21">
        <f>-MAX(C$4:C21)+C21</f>
        <v>0</v>
      </c>
    </row>
    <row r="22" spans="1:5" x14ac:dyDescent="0.3">
      <c r="A22" s="3">
        <v>19</v>
      </c>
      <c r="B22">
        <v>1362</v>
      </c>
      <c r="C22">
        <f t="shared" si="1"/>
        <v>12410</v>
      </c>
      <c r="D22">
        <f t="shared" si="0"/>
        <v>1362</v>
      </c>
      <c r="E22">
        <f>-MAX(C$4:C22)+C22</f>
        <v>0</v>
      </c>
    </row>
    <row r="23" spans="1:5" x14ac:dyDescent="0.3">
      <c r="A23" s="3">
        <v>20</v>
      </c>
      <c r="B23">
        <v>-467</v>
      </c>
      <c r="C23">
        <f t="shared" si="1"/>
        <v>11943</v>
      </c>
      <c r="D23">
        <f t="shared" si="0"/>
        <v>-467</v>
      </c>
      <c r="E23">
        <f>-MAX(C$4:C23)+C23</f>
        <v>-467</v>
      </c>
    </row>
    <row r="24" spans="1:5" x14ac:dyDescent="0.3">
      <c r="A24" s="3">
        <v>21</v>
      </c>
      <c r="B24">
        <v>1307</v>
      </c>
      <c r="C24">
        <f t="shared" si="1"/>
        <v>13250</v>
      </c>
      <c r="D24">
        <f t="shared" si="0"/>
        <v>1307</v>
      </c>
      <c r="E24">
        <f>-MAX(C$4:C24)+C24</f>
        <v>0</v>
      </c>
    </row>
    <row r="25" spans="1:5" x14ac:dyDescent="0.3">
      <c r="A25" s="3">
        <v>22</v>
      </c>
      <c r="B25">
        <v>1730</v>
      </c>
      <c r="C25">
        <f t="shared" si="1"/>
        <v>14980</v>
      </c>
      <c r="D25">
        <f t="shared" si="0"/>
        <v>1730</v>
      </c>
      <c r="E25">
        <f>-MAX(C$4:C25)+C25</f>
        <v>0</v>
      </c>
    </row>
    <row r="26" spans="1:5" x14ac:dyDescent="0.3">
      <c r="A26" s="3">
        <v>23</v>
      </c>
      <c r="B26">
        <v>1146</v>
      </c>
      <c r="C26">
        <f t="shared" si="1"/>
        <v>16126</v>
      </c>
      <c r="D26">
        <f t="shared" si="0"/>
        <v>1146</v>
      </c>
      <c r="E26">
        <f>-MAX(C$4:C26)+C26</f>
        <v>0</v>
      </c>
    </row>
    <row r="27" spans="1:5" x14ac:dyDescent="0.3">
      <c r="A27" s="3">
        <v>24</v>
      </c>
      <c r="B27">
        <v>1120</v>
      </c>
      <c r="C27">
        <f t="shared" si="1"/>
        <v>17246</v>
      </c>
      <c r="D27">
        <f t="shared" si="0"/>
        <v>1120</v>
      </c>
      <c r="E27">
        <f>-MAX(C$4:C27)+C27</f>
        <v>0</v>
      </c>
    </row>
    <row r="28" spans="1:5" x14ac:dyDescent="0.3">
      <c r="A28" s="3">
        <v>25</v>
      </c>
      <c r="B28">
        <v>825</v>
      </c>
      <c r="C28">
        <f t="shared" si="1"/>
        <v>18071</v>
      </c>
      <c r="D28">
        <f t="shared" si="0"/>
        <v>825</v>
      </c>
      <c r="E28">
        <f>-MAX(C$4:C28)+C28</f>
        <v>0</v>
      </c>
    </row>
    <row r="29" spans="1:5" x14ac:dyDescent="0.3">
      <c r="A29" s="3">
        <v>26</v>
      </c>
      <c r="B29">
        <v>491</v>
      </c>
      <c r="C29">
        <f t="shared" si="1"/>
        <v>18562</v>
      </c>
      <c r="D29">
        <f t="shared" si="0"/>
        <v>491</v>
      </c>
      <c r="E29">
        <f>-MAX(C$4:C29)+C29</f>
        <v>0</v>
      </c>
    </row>
    <row r="30" spans="1:5" x14ac:dyDescent="0.3">
      <c r="A30" s="3">
        <v>27</v>
      </c>
      <c r="B30">
        <v>68</v>
      </c>
      <c r="C30">
        <f t="shared" si="1"/>
        <v>18630</v>
      </c>
      <c r="D30">
        <f t="shared" si="0"/>
        <v>68</v>
      </c>
      <c r="E30">
        <f>-MAX(C$4:C30)+C30</f>
        <v>0</v>
      </c>
    </row>
    <row r="31" spans="1:5" x14ac:dyDescent="0.3">
      <c r="A31" s="3">
        <v>28</v>
      </c>
      <c r="B31">
        <v>504</v>
      </c>
      <c r="C31">
        <f t="shared" si="1"/>
        <v>19134</v>
      </c>
      <c r="D31">
        <f t="shared" si="0"/>
        <v>504</v>
      </c>
      <c r="E31">
        <f>-MAX(C$4:C31)+C31</f>
        <v>0</v>
      </c>
    </row>
    <row r="32" spans="1:5" x14ac:dyDescent="0.3">
      <c r="A32" s="3">
        <v>29</v>
      </c>
      <c r="B32">
        <v>665</v>
      </c>
      <c r="C32">
        <f t="shared" si="1"/>
        <v>19799</v>
      </c>
      <c r="D32">
        <f t="shared" si="0"/>
        <v>665</v>
      </c>
      <c r="E32">
        <f>-MAX(C$4:C32)+C32</f>
        <v>0</v>
      </c>
    </row>
    <row r="33" spans="1:5" x14ac:dyDescent="0.3">
      <c r="A33" s="3">
        <v>30</v>
      </c>
      <c r="B33">
        <v>-171</v>
      </c>
      <c r="C33">
        <f t="shared" si="1"/>
        <v>19628</v>
      </c>
      <c r="D33">
        <f t="shared" si="0"/>
        <v>-171</v>
      </c>
      <c r="E33">
        <f>-MAX(C$4:C33)+C33</f>
        <v>-171</v>
      </c>
    </row>
    <row r="34" spans="1:5" x14ac:dyDescent="0.3">
      <c r="A34" s="3">
        <v>31</v>
      </c>
      <c r="B34">
        <v>483</v>
      </c>
      <c r="C34">
        <f t="shared" si="1"/>
        <v>20111</v>
      </c>
      <c r="D34">
        <f t="shared" si="0"/>
        <v>483</v>
      </c>
      <c r="E34">
        <f>-MAX(C$4:C34)+C34</f>
        <v>0</v>
      </c>
    </row>
    <row r="35" spans="1:5" x14ac:dyDescent="0.3">
      <c r="A35" s="3">
        <v>32</v>
      </c>
      <c r="B35">
        <v>-374</v>
      </c>
      <c r="C35">
        <f t="shared" si="1"/>
        <v>19737</v>
      </c>
      <c r="D35">
        <f t="shared" si="0"/>
        <v>-374</v>
      </c>
      <c r="E35">
        <f>-MAX(C$4:C35)+C35</f>
        <v>-374</v>
      </c>
    </row>
    <row r="36" spans="1:5" x14ac:dyDescent="0.3">
      <c r="A36" s="3">
        <v>33</v>
      </c>
      <c r="B36">
        <v>1062</v>
      </c>
      <c r="C36">
        <f t="shared" si="1"/>
        <v>20799</v>
      </c>
      <c r="D36">
        <f t="shared" si="0"/>
        <v>1062</v>
      </c>
      <c r="E36">
        <f>-MAX(C$4:C36)+C36</f>
        <v>0</v>
      </c>
    </row>
    <row r="37" spans="1:5" x14ac:dyDescent="0.3">
      <c r="A37" s="3">
        <v>34</v>
      </c>
      <c r="B37">
        <v>600</v>
      </c>
      <c r="C37">
        <f t="shared" si="1"/>
        <v>21399</v>
      </c>
      <c r="D37">
        <f t="shared" si="0"/>
        <v>600</v>
      </c>
      <c r="E37">
        <f>-MAX(C$4:C37)+C37</f>
        <v>0</v>
      </c>
    </row>
    <row r="38" spans="1:5" x14ac:dyDescent="0.3">
      <c r="A38" s="3">
        <v>35</v>
      </c>
      <c r="B38">
        <v>253</v>
      </c>
      <c r="C38">
        <f t="shared" si="1"/>
        <v>21652</v>
      </c>
      <c r="D38">
        <f t="shared" si="0"/>
        <v>253</v>
      </c>
      <c r="E38">
        <f>-MAX(C$4:C38)+C38</f>
        <v>0</v>
      </c>
    </row>
    <row r="39" spans="1:5" x14ac:dyDescent="0.3">
      <c r="A39" s="3">
        <v>36</v>
      </c>
      <c r="B39">
        <v>-226</v>
      </c>
      <c r="C39">
        <f t="shared" si="1"/>
        <v>21426</v>
      </c>
      <c r="D39">
        <f t="shared" si="0"/>
        <v>-226</v>
      </c>
      <c r="E39">
        <f>-MAX(C$4:C39)+C39</f>
        <v>-226</v>
      </c>
    </row>
    <row r="40" spans="1:5" x14ac:dyDescent="0.3">
      <c r="A40" s="3">
        <v>37</v>
      </c>
      <c r="B40">
        <v>1343</v>
      </c>
      <c r="C40">
        <f t="shared" si="1"/>
        <v>22769</v>
      </c>
      <c r="D40">
        <f t="shared" si="0"/>
        <v>1343</v>
      </c>
      <c r="E40">
        <f>-MAX(C$4:C40)+C40</f>
        <v>0</v>
      </c>
    </row>
    <row r="41" spans="1:5" x14ac:dyDescent="0.3">
      <c r="A41" s="3">
        <v>38</v>
      </c>
      <c r="B41">
        <v>175</v>
      </c>
      <c r="C41">
        <f t="shared" si="1"/>
        <v>22944</v>
      </c>
      <c r="D41">
        <f t="shared" si="0"/>
        <v>175</v>
      </c>
      <c r="E41">
        <f>-MAX(C$4:C41)+C41</f>
        <v>0</v>
      </c>
    </row>
    <row r="42" spans="1:5" x14ac:dyDescent="0.3">
      <c r="A42" s="3">
        <v>39</v>
      </c>
      <c r="B42">
        <v>-156</v>
      </c>
      <c r="C42">
        <f t="shared" si="1"/>
        <v>22788</v>
      </c>
      <c r="D42">
        <f t="shared" si="0"/>
        <v>-156</v>
      </c>
      <c r="E42">
        <f>-MAX(C$4:C42)+C42</f>
        <v>-156</v>
      </c>
    </row>
    <row r="43" spans="1:5" x14ac:dyDescent="0.3">
      <c r="A43" s="3">
        <v>40</v>
      </c>
      <c r="B43">
        <v>99</v>
      </c>
      <c r="C43">
        <f t="shared" si="1"/>
        <v>22887</v>
      </c>
      <c r="D43">
        <f t="shared" si="0"/>
        <v>99</v>
      </c>
      <c r="E43">
        <f>-MAX(C$4:C43)+C43</f>
        <v>-57</v>
      </c>
    </row>
    <row r="44" spans="1:5" x14ac:dyDescent="0.3">
      <c r="A44" s="3">
        <v>41</v>
      </c>
      <c r="B44">
        <v>1295</v>
      </c>
      <c r="C44">
        <f t="shared" si="1"/>
        <v>24182</v>
      </c>
      <c r="D44">
        <f t="shared" si="0"/>
        <v>1295</v>
      </c>
      <c r="E44">
        <f>-MAX(C$4:C44)+C44</f>
        <v>0</v>
      </c>
    </row>
    <row r="45" spans="1:5" x14ac:dyDescent="0.3">
      <c r="A45" s="3">
        <v>42</v>
      </c>
      <c r="B45">
        <v>52</v>
      </c>
      <c r="C45">
        <f t="shared" si="1"/>
        <v>24234</v>
      </c>
      <c r="D45">
        <f t="shared" si="0"/>
        <v>52</v>
      </c>
      <c r="E45">
        <f>-MAX(C$4:C45)+C45</f>
        <v>0</v>
      </c>
    </row>
    <row r="46" spans="1:5" x14ac:dyDescent="0.3">
      <c r="A46" s="3">
        <v>43</v>
      </c>
      <c r="B46">
        <v>1306</v>
      </c>
      <c r="C46">
        <f t="shared" si="1"/>
        <v>25540</v>
      </c>
      <c r="D46">
        <f t="shared" si="0"/>
        <v>1306</v>
      </c>
      <c r="E46">
        <f>-MAX(C$4:C46)+C46</f>
        <v>0</v>
      </c>
    </row>
    <row r="47" spans="1:5" x14ac:dyDescent="0.3">
      <c r="A47" s="3">
        <v>44</v>
      </c>
      <c r="B47">
        <v>383</v>
      </c>
      <c r="C47">
        <f t="shared" si="1"/>
        <v>25923</v>
      </c>
      <c r="D47">
        <f t="shared" si="0"/>
        <v>383</v>
      </c>
      <c r="E47">
        <f>-MAX(C$4:C47)+C47</f>
        <v>0</v>
      </c>
    </row>
    <row r="48" spans="1:5" x14ac:dyDescent="0.3">
      <c r="A48" s="3">
        <v>45</v>
      </c>
      <c r="B48">
        <v>1114</v>
      </c>
      <c r="C48">
        <f t="shared" si="1"/>
        <v>27037</v>
      </c>
      <c r="D48">
        <f t="shared" si="0"/>
        <v>1114</v>
      </c>
      <c r="E48">
        <f>-MAX(C$4:C48)+C48</f>
        <v>0</v>
      </c>
    </row>
    <row r="49" spans="1:5" x14ac:dyDescent="0.3">
      <c r="A49" s="3">
        <v>46</v>
      </c>
      <c r="B49">
        <v>259</v>
      </c>
      <c r="C49">
        <f t="shared" si="1"/>
        <v>27296</v>
      </c>
      <c r="D49">
        <f t="shared" si="0"/>
        <v>259</v>
      </c>
      <c r="E49">
        <f>-MAX(C$4:C49)+C49</f>
        <v>0</v>
      </c>
    </row>
    <row r="50" spans="1:5" x14ac:dyDescent="0.3">
      <c r="A50" s="3">
        <v>47</v>
      </c>
      <c r="B50">
        <v>-525</v>
      </c>
      <c r="C50">
        <f t="shared" si="1"/>
        <v>26771</v>
      </c>
      <c r="D50">
        <f t="shared" si="0"/>
        <v>-525</v>
      </c>
      <c r="E50">
        <f>-MAX(C$4:C50)+C50</f>
        <v>-525</v>
      </c>
    </row>
    <row r="51" spans="1:5" x14ac:dyDescent="0.3">
      <c r="A51" s="3">
        <v>48</v>
      </c>
      <c r="B51">
        <v>622</v>
      </c>
      <c r="C51">
        <f t="shared" si="1"/>
        <v>27393</v>
      </c>
      <c r="D51">
        <f t="shared" si="0"/>
        <v>622</v>
      </c>
      <c r="E51">
        <f>-MAX(C$4:C51)+C51</f>
        <v>0</v>
      </c>
    </row>
    <row r="52" spans="1:5" x14ac:dyDescent="0.3">
      <c r="A52" s="3">
        <v>49</v>
      </c>
      <c r="B52">
        <v>1485</v>
      </c>
      <c r="C52">
        <f t="shared" si="1"/>
        <v>28878</v>
      </c>
      <c r="D52">
        <f t="shared" si="0"/>
        <v>1485</v>
      </c>
      <c r="E52">
        <f>-MAX(C$4:C52)+C52</f>
        <v>0</v>
      </c>
    </row>
    <row r="53" spans="1:5" x14ac:dyDescent="0.3">
      <c r="A53" s="3">
        <v>50</v>
      </c>
      <c r="B53">
        <v>1447</v>
      </c>
      <c r="C53">
        <f t="shared" si="1"/>
        <v>30325</v>
      </c>
      <c r="D53">
        <f t="shared" si="0"/>
        <v>1447</v>
      </c>
      <c r="E53">
        <f>-MAX(C$4:C53)+C53</f>
        <v>0</v>
      </c>
    </row>
    <row r="54" spans="1:5" x14ac:dyDescent="0.3">
      <c r="A54" s="3">
        <v>51</v>
      </c>
      <c r="B54">
        <v>1135</v>
      </c>
      <c r="C54">
        <f t="shared" si="1"/>
        <v>31460</v>
      </c>
      <c r="D54">
        <f t="shared" si="0"/>
        <v>1135</v>
      </c>
      <c r="E54">
        <f>-MAX(C$4:C54)+C54</f>
        <v>0</v>
      </c>
    </row>
    <row r="55" spans="1:5" x14ac:dyDescent="0.3">
      <c r="A55" s="3">
        <v>52</v>
      </c>
      <c r="B55">
        <v>1549</v>
      </c>
      <c r="C55">
        <f t="shared" si="1"/>
        <v>33009</v>
      </c>
      <c r="D55">
        <f t="shared" si="0"/>
        <v>1549</v>
      </c>
      <c r="E55">
        <f>-MAX(C$4:C55)+C55</f>
        <v>0</v>
      </c>
    </row>
    <row r="56" spans="1:5" x14ac:dyDescent="0.3">
      <c r="A56" s="3">
        <v>53</v>
      </c>
      <c r="B56">
        <v>748</v>
      </c>
      <c r="C56">
        <f t="shared" si="1"/>
        <v>33757</v>
      </c>
      <c r="D56">
        <f t="shared" si="0"/>
        <v>748</v>
      </c>
      <c r="E56">
        <f>-MAX(C$4:C56)+C56</f>
        <v>0</v>
      </c>
    </row>
    <row r="57" spans="1:5" x14ac:dyDescent="0.3">
      <c r="A57" s="3">
        <v>54</v>
      </c>
      <c r="B57">
        <v>924</v>
      </c>
      <c r="C57">
        <f t="shared" si="1"/>
        <v>34681</v>
      </c>
      <c r="D57">
        <f t="shared" si="0"/>
        <v>924</v>
      </c>
      <c r="E57">
        <f>-MAX(C$4:C57)+C57</f>
        <v>0</v>
      </c>
    </row>
    <row r="58" spans="1:5" x14ac:dyDescent="0.3">
      <c r="A58" s="3">
        <v>55</v>
      </c>
      <c r="B58">
        <v>-503</v>
      </c>
      <c r="C58">
        <f t="shared" si="1"/>
        <v>34178</v>
      </c>
      <c r="D58">
        <f t="shared" si="0"/>
        <v>-503</v>
      </c>
      <c r="E58">
        <f>-MAX(C$4:C58)+C58</f>
        <v>-503</v>
      </c>
    </row>
    <row r="59" spans="1:5" x14ac:dyDescent="0.3">
      <c r="A59" s="3">
        <v>56</v>
      </c>
      <c r="B59">
        <v>-221</v>
      </c>
      <c r="C59">
        <f t="shared" si="1"/>
        <v>33957</v>
      </c>
      <c r="D59">
        <f t="shared" si="0"/>
        <v>-221</v>
      </c>
      <c r="E59">
        <f>-MAX(C$4:C59)+C59</f>
        <v>-724</v>
      </c>
    </row>
    <row r="60" spans="1:5" x14ac:dyDescent="0.3">
      <c r="A60" s="3">
        <v>57</v>
      </c>
      <c r="B60">
        <v>132</v>
      </c>
      <c r="C60">
        <f t="shared" si="1"/>
        <v>34089</v>
      </c>
      <c r="D60">
        <f t="shared" si="0"/>
        <v>132</v>
      </c>
      <c r="E60">
        <f>-MAX(C$4:C60)+C60</f>
        <v>-592</v>
      </c>
    </row>
    <row r="61" spans="1:5" x14ac:dyDescent="0.3">
      <c r="A61" s="3">
        <v>58</v>
      </c>
      <c r="B61">
        <v>-693</v>
      </c>
      <c r="C61">
        <f t="shared" si="1"/>
        <v>33396</v>
      </c>
      <c r="D61">
        <f t="shared" si="0"/>
        <v>-693</v>
      </c>
      <c r="E61">
        <f>-MAX(C$4:C61)+C61</f>
        <v>-1285</v>
      </c>
    </row>
    <row r="62" spans="1:5" x14ac:dyDescent="0.3">
      <c r="A62" s="3">
        <v>59</v>
      </c>
      <c r="B62">
        <v>25</v>
      </c>
      <c r="C62">
        <f t="shared" si="1"/>
        <v>33421</v>
      </c>
      <c r="D62">
        <f t="shared" si="0"/>
        <v>25</v>
      </c>
      <c r="E62">
        <f>-MAX(C$4:C62)+C62</f>
        <v>-1260</v>
      </c>
    </row>
    <row r="63" spans="1:5" x14ac:dyDescent="0.3">
      <c r="A63" s="3">
        <v>60</v>
      </c>
      <c r="B63">
        <v>1321</v>
      </c>
      <c r="C63">
        <f t="shared" si="1"/>
        <v>34742</v>
      </c>
      <c r="D63">
        <f t="shared" si="0"/>
        <v>1321</v>
      </c>
      <c r="E63">
        <f>-MAX(C$4:C63)+C63</f>
        <v>0</v>
      </c>
    </row>
    <row r="64" spans="1:5" x14ac:dyDescent="0.3">
      <c r="A64" s="3">
        <v>61</v>
      </c>
      <c r="B64">
        <v>928</v>
      </c>
      <c r="C64">
        <f t="shared" si="1"/>
        <v>35670</v>
      </c>
      <c r="D64">
        <f t="shared" si="0"/>
        <v>928</v>
      </c>
      <c r="E64">
        <f>-MAX(C$4:C64)+C64</f>
        <v>0</v>
      </c>
    </row>
    <row r="65" spans="1:5" x14ac:dyDescent="0.3">
      <c r="A65" s="3">
        <v>62</v>
      </c>
      <c r="B65">
        <v>1594</v>
      </c>
      <c r="C65">
        <f t="shared" si="1"/>
        <v>37264</v>
      </c>
      <c r="D65">
        <f t="shared" si="0"/>
        <v>1594</v>
      </c>
      <c r="E65">
        <f>-MAX(C$4:C65)+C65</f>
        <v>0</v>
      </c>
    </row>
    <row r="66" spans="1:5" x14ac:dyDescent="0.3">
      <c r="A66" s="3">
        <v>63</v>
      </c>
      <c r="B66">
        <v>1369</v>
      </c>
      <c r="C66">
        <f t="shared" si="1"/>
        <v>38633</v>
      </c>
      <c r="D66">
        <f t="shared" si="0"/>
        <v>1369</v>
      </c>
      <c r="E66">
        <f>-MAX(C$4:C66)+C66</f>
        <v>0</v>
      </c>
    </row>
    <row r="67" spans="1:5" x14ac:dyDescent="0.3">
      <c r="A67" s="3">
        <v>64</v>
      </c>
      <c r="B67">
        <v>1234</v>
      </c>
      <c r="C67">
        <f t="shared" si="1"/>
        <v>39867</v>
      </c>
      <c r="D67">
        <f t="shared" si="0"/>
        <v>1234</v>
      </c>
      <c r="E67">
        <f>-MAX(C$4:C67)+C67</f>
        <v>0</v>
      </c>
    </row>
    <row r="68" spans="1:5" x14ac:dyDescent="0.3">
      <c r="A68" s="3">
        <v>65</v>
      </c>
      <c r="B68">
        <v>71</v>
      </c>
      <c r="C68">
        <f t="shared" si="1"/>
        <v>39938</v>
      </c>
      <c r="D68">
        <f t="shared" si="0"/>
        <v>71</v>
      </c>
      <c r="E68">
        <f>-MAX(C$4:C68)+C68</f>
        <v>0</v>
      </c>
    </row>
    <row r="69" spans="1:5" x14ac:dyDescent="0.3">
      <c r="A69" s="3">
        <v>66</v>
      </c>
      <c r="B69">
        <v>-640</v>
      </c>
      <c r="C69">
        <f t="shared" si="1"/>
        <v>39298</v>
      </c>
      <c r="D69">
        <f t="shared" ref="D69:D132" si="2">B69</f>
        <v>-640</v>
      </c>
      <c r="E69">
        <f>-MAX(C$4:C69)+C69</f>
        <v>-640</v>
      </c>
    </row>
    <row r="70" spans="1:5" x14ac:dyDescent="0.3">
      <c r="A70" s="3">
        <v>67</v>
      </c>
      <c r="B70">
        <v>1073</v>
      </c>
      <c r="C70">
        <f t="shared" ref="C70:C133" si="3">C69+B70</f>
        <v>40371</v>
      </c>
      <c r="D70">
        <f t="shared" si="2"/>
        <v>1073</v>
      </c>
      <c r="E70">
        <f>-MAX(C$4:C70)+C70</f>
        <v>0</v>
      </c>
    </row>
    <row r="71" spans="1:5" x14ac:dyDescent="0.3">
      <c r="A71" s="3">
        <v>68</v>
      </c>
      <c r="B71">
        <v>974</v>
      </c>
      <c r="C71">
        <f t="shared" si="3"/>
        <v>41345</v>
      </c>
      <c r="D71">
        <f t="shared" si="2"/>
        <v>974</v>
      </c>
      <c r="E71">
        <f>-MAX(C$4:C71)+C71</f>
        <v>0</v>
      </c>
    </row>
    <row r="72" spans="1:5" x14ac:dyDescent="0.3">
      <c r="A72" s="3">
        <v>69</v>
      </c>
      <c r="B72">
        <v>534</v>
      </c>
      <c r="C72">
        <f t="shared" si="3"/>
        <v>41879</v>
      </c>
      <c r="D72">
        <f t="shared" si="2"/>
        <v>534</v>
      </c>
      <c r="E72">
        <f>-MAX(C$4:C72)+C72</f>
        <v>0</v>
      </c>
    </row>
    <row r="73" spans="1:5" x14ac:dyDescent="0.3">
      <c r="A73" s="3">
        <v>70</v>
      </c>
      <c r="B73">
        <v>246</v>
      </c>
      <c r="C73">
        <f t="shared" si="3"/>
        <v>42125</v>
      </c>
      <c r="D73">
        <f t="shared" si="2"/>
        <v>246</v>
      </c>
      <c r="E73">
        <f>-MAX(C$4:C73)+C73</f>
        <v>0</v>
      </c>
    </row>
    <row r="74" spans="1:5" x14ac:dyDescent="0.3">
      <c r="A74" s="3">
        <v>71</v>
      </c>
      <c r="B74">
        <v>693</v>
      </c>
      <c r="C74">
        <f t="shared" si="3"/>
        <v>42818</v>
      </c>
      <c r="D74">
        <f t="shared" si="2"/>
        <v>693</v>
      </c>
      <c r="E74">
        <f>-MAX(C$4:C74)+C74</f>
        <v>0</v>
      </c>
    </row>
    <row r="75" spans="1:5" x14ac:dyDescent="0.3">
      <c r="A75" s="3">
        <v>72</v>
      </c>
      <c r="B75">
        <v>139</v>
      </c>
      <c r="C75">
        <f t="shared" si="3"/>
        <v>42957</v>
      </c>
      <c r="D75">
        <f t="shared" si="2"/>
        <v>139</v>
      </c>
      <c r="E75">
        <f>-MAX(C$4:C75)+C75</f>
        <v>0</v>
      </c>
    </row>
    <row r="76" spans="1:5" x14ac:dyDescent="0.3">
      <c r="A76" s="3">
        <v>73</v>
      </c>
      <c r="B76">
        <v>566</v>
      </c>
      <c r="C76">
        <f t="shared" si="3"/>
        <v>43523</v>
      </c>
      <c r="D76">
        <f t="shared" si="2"/>
        <v>566</v>
      </c>
      <c r="E76">
        <f>-MAX(C$4:C76)+C76</f>
        <v>0</v>
      </c>
    </row>
    <row r="77" spans="1:5" x14ac:dyDescent="0.3">
      <c r="A77" s="3">
        <v>74</v>
      </c>
      <c r="B77">
        <v>1112</v>
      </c>
      <c r="C77">
        <f t="shared" si="3"/>
        <v>44635</v>
      </c>
      <c r="D77">
        <f t="shared" si="2"/>
        <v>1112</v>
      </c>
      <c r="E77">
        <f>-MAX(C$4:C77)+C77</f>
        <v>0</v>
      </c>
    </row>
    <row r="78" spans="1:5" x14ac:dyDescent="0.3">
      <c r="A78" s="3">
        <v>75</v>
      </c>
      <c r="B78">
        <v>1525</v>
      </c>
      <c r="C78">
        <f t="shared" si="3"/>
        <v>46160</v>
      </c>
      <c r="D78">
        <f t="shared" si="2"/>
        <v>1525</v>
      </c>
      <c r="E78">
        <f>-MAX(C$4:C78)+C78</f>
        <v>0</v>
      </c>
    </row>
    <row r="79" spans="1:5" x14ac:dyDescent="0.3">
      <c r="A79" s="3">
        <v>76</v>
      </c>
      <c r="B79">
        <v>-234</v>
      </c>
      <c r="C79">
        <f t="shared" si="3"/>
        <v>45926</v>
      </c>
      <c r="D79">
        <f t="shared" si="2"/>
        <v>-234</v>
      </c>
      <c r="E79">
        <f>-MAX(C$4:C79)+C79</f>
        <v>-234</v>
      </c>
    </row>
    <row r="80" spans="1:5" x14ac:dyDescent="0.3">
      <c r="A80" s="3">
        <v>77</v>
      </c>
      <c r="B80">
        <v>149</v>
      </c>
      <c r="C80">
        <f t="shared" si="3"/>
        <v>46075</v>
      </c>
      <c r="D80">
        <f t="shared" si="2"/>
        <v>149</v>
      </c>
      <c r="E80">
        <f>-MAX(C$4:C80)+C80</f>
        <v>-85</v>
      </c>
    </row>
    <row r="81" spans="1:5" x14ac:dyDescent="0.3">
      <c r="A81" s="3">
        <v>78</v>
      </c>
      <c r="B81">
        <v>485</v>
      </c>
      <c r="C81">
        <f t="shared" si="3"/>
        <v>46560</v>
      </c>
      <c r="D81">
        <f t="shared" si="2"/>
        <v>485</v>
      </c>
      <c r="E81">
        <f>-MAX(C$4:C81)+C81</f>
        <v>0</v>
      </c>
    </row>
    <row r="82" spans="1:5" x14ac:dyDescent="0.3">
      <c r="A82" s="3">
        <v>79</v>
      </c>
      <c r="B82">
        <v>682</v>
      </c>
      <c r="C82">
        <f t="shared" si="3"/>
        <v>47242</v>
      </c>
      <c r="D82">
        <f t="shared" si="2"/>
        <v>682</v>
      </c>
      <c r="E82">
        <f>-MAX(C$4:C82)+C82</f>
        <v>0</v>
      </c>
    </row>
    <row r="83" spans="1:5" x14ac:dyDescent="0.3">
      <c r="A83" s="3">
        <v>80</v>
      </c>
      <c r="B83">
        <v>314</v>
      </c>
      <c r="C83">
        <f t="shared" si="3"/>
        <v>47556</v>
      </c>
      <c r="D83">
        <f t="shared" si="2"/>
        <v>314</v>
      </c>
      <c r="E83">
        <f>-MAX(C$4:C83)+C83</f>
        <v>0</v>
      </c>
    </row>
    <row r="84" spans="1:5" x14ac:dyDescent="0.3">
      <c r="A84" s="3">
        <v>81</v>
      </c>
      <c r="B84">
        <v>1126</v>
      </c>
      <c r="C84">
        <f t="shared" si="3"/>
        <v>48682</v>
      </c>
      <c r="D84">
        <f t="shared" si="2"/>
        <v>1126</v>
      </c>
      <c r="E84">
        <f>-MAX(C$4:C84)+C84</f>
        <v>0</v>
      </c>
    </row>
    <row r="85" spans="1:5" x14ac:dyDescent="0.3">
      <c r="A85" s="3">
        <v>82</v>
      </c>
      <c r="B85">
        <v>-60</v>
      </c>
      <c r="C85">
        <f t="shared" si="3"/>
        <v>48622</v>
      </c>
      <c r="D85">
        <f t="shared" si="2"/>
        <v>-60</v>
      </c>
      <c r="E85">
        <f>-MAX(C$4:C85)+C85</f>
        <v>-60</v>
      </c>
    </row>
    <row r="86" spans="1:5" x14ac:dyDescent="0.3">
      <c r="A86" s="3">
        <v>83</v>
      </c>
      <c r="B86">
        <v>902</v>
      </c>
      <c r="C86">
        <f t="shared" si="3"/>
        <v>49524</v>
      </c>
      <c r="D86">
        <f t="shared" si="2"/>
        <v>902</v>
      </c>
      <c r="E86">
        <f>-MAX(C$4:C86)+C86</f>
        <v>0</v>
      </c>
    </row>
    <row r="87" spans="1:5" x14ac:dyDescent="0.3">
      <c r="A87" s="3">
        <v>84</v>
      </c>
      <c r="B87">
        <v>-484</v>
      </c>
      <c r="C87">
        <f t="shared" si="3"/>
        <v>49040</v>
      </c>
      <c r="D87">
        <f t="shared" si="2"/>
        <v>-484</v>
      </c>
      <c r="E87">
        <f>-MAX(C$4:C87)+C87</f>
        <v>-484</v>
      </c>
    </row>
    <row r="88" spans="1:5" x14ac:dyDescent="0.3">
      <c r="A88" s="3">
        <v>85</v>
      </c>
      <c r="B88">
        <v>-114</v>
      </c>
      <c r="C88">
        <f t="shared" si="3"/>
        <v>48926</v>
      </c>
      <c r="D88">
        <f t="shared" si="2"/>
        <v>-114</v>
      </c>
      <c r="E88">
        <f>-MAX(C$4:C88)+C88</f>
        <v>-598</v>
      </c>
    </row>
    <row r="89" spans="1:5" x14ac:dyDescent="0.3">
      <c r="A89" s="3">
        <v>86</v>
      </c>
      <c r="B89">
        <v>1074</v>
      </c>
      <c r="C89">
        <f t="shared" si="3"/>
        <v>50000</v>
      </c>
      <c r="D89">
        <f t="shared" si="2"/>
        <v>1074</v>
      </c>
      <c r="E89">
        <f>-MAX(C$4:C89)+C89</f>
        <v>0</v>
      </c>
    </row>
    <row r="90" spans="1:5" x14ac:dyDescent="0.3">
      <c r="A90" s="3">
        <v>87</v>
      </c>
      <c r="B90">
        <v>330</v>
      </c>
      <c r="C90">
        <f t="shared" si="3"/>
        <v>50330</v>
      </c>
      <c r="D90">
        <f t="shared" si="2"/>
        <v>330</v>
      </c>
      <c r="E90">
        <f>-MAX(C$4:C90)+C90</f>
        <v>0</v>
      </c>
    </row>
    <row r="91" spans="1:5" x14ac:dyDescent="0.3">
      <c r="A91" s="3">
        <v>88</v>
      </c>
      <c r="B91">
        <v>1256</v>
      </c>
      <c r="C91">
        <f t="shared" si="3"/>
        <v>51586</v>
      </c>
      <c r="D91">
        <f t="shared" si="2"/>
        <v>1256</v>
      </c>
      <c r="E91">
        <f>-MAX(C$4:C91)+C91</f>
        <v>0</v>
      </c>
    </row>
    <row r="92" spans="1:5" x14ac:dyDescent="0.3">
      <c r="A92" s="3">
        <v>89</v>
      </c>
      <c r="B92">
        <v>668</v>
      </c>
      <c r="C92">
        <f t="shared" si="3"/>
        <v>52254</v>
      </c>
      <c r="D92">
        <f t="shared" si="2"/>
        <v>668</v>
      </c>
      <c r="E92">
        <f>-MAX(C$4:C92)+C92</f>
        <v>0</v>
      </c>
    </row>
    <row r="93" spans="1:5" x14ac:dyDescent="0.3">
      <c r="A93" s="3">
        <v>90</v>
      </c>
      <c r="B93">
        <v>966</v>
      </c>
      <c r="C93">
        <f t="shared" si="3"/>
        <v>53220</v>
      </c>
      <c r="D93">
        <f t="shared" si="2"/>
        <v>966</v>
      </c>
      <c r="E93">
        <f>-MAX(C$4:C93)+C93</f>
        <v>0</v>
      </c>
    </row>
    <row r="94" spans="1:5" x14ac:dyDescent="0.3">
      <c r="A94" s="3">
        <v>91</v>
      </c>
      <c r="B94">
        <v>497</v>
      </c>
      <c r="C94">
        <f t="shared" si="3"/>
        <v>53717</v>
      </c>
      <c r="D94">
        <f t="shared" si="2"/>
        <v>497</v>
      </c>
      <c r="E94">
        <f>-MAX(C$4:C94)+C94</f>
        <v>0</v>
      </c>
    </row>
    <row r="95" spans="1:5" x14ac:dyDescent="0.3">
      <c r="A95" s="3">
        <v>92</v>
      </c>
      <c r="B95">
        <v>1044</v>
      </c>
      <c r="C95">
        <f t="shared" si="3"/>
        <v>54761</v>
      </c>
      <c r="D95">
        <f t="shared" si="2"/>
        <v>1044</v>
      </c>
      <c r="E95">
        <f>-MAX(C$4:C95)+C95</f>
        <v>0</v>
      </c>
    </row>
    <row r="96" spans="1:5" x14ac:dyDescent="0.3">
      <c r="A96" s="3">
        <v>93</v>
      </c>
      <c r="B96">
        <v>486</v>
      </c>
      <c r="C96">
        <f t="shared" si="3"/>
        <v>55247</v>
      </c>
      <c r="D96">
        <f t="shared" si="2"/>
        <v>486</v>
      </c>
      <c r="E96">
        <f>-MAX(C$4:C96)+C96</f>
        <v>0</v>
      </c>
    </row>
    <row r="97" spans="1:5" x14ac:dyDescent="0.3">
      <c r="A97" s="3">
        <v>94</v>
      </c>
      <c r="B97">
        <v>1796</v>
      </c>
      <c r="C97">
        <f t="shared" si="3"/>
        <v>57043</v>
      </c>
      <c r="D97">
        <f t="shared" si="2"/>
        <v>1796</v>
      </c>
      <c r="E97">
        <f>-MAX(C$4:C97)+C97</f>
        <v>0</v>
      </c>
    </row>
    <row r="98" spans="1:5" x14ac:dyDescent="0.3">
      <c r="A98" s="3">
        <v>95</v>
      </c>
      <c r="B98">
        <v>984</v>
      </c>
      <c r="C98">
        <f t="shared" si="3"/>
        <v>58027</v>
      </c>
      <c r="D98">
        <f t="shared" si="2"/>
        <v>984</v>
      </c>
      <c r="E98">
        <f>-MAX(C$4:C98)+C98</f>
        <v>0</v>
      </c>
    </row>
    <row r="99" spans="1:5" x14ac:dyDescent="0.3">
      <c r="A99" s="3">
        <v>96</v>
      </c>
      <c r="B99">
        <v>1239</v>
      </c>
      <c r="C99">
        <f t="shared" si="3"/>
        <v>59266</v>
      </c>
      <c r="D99">
        <f t="shared" si="2"/>
        <v>1239</v>
      </c>
      <c r="E99">
        <f>-MAX(C$4:C99)+C99</f>
        <v>0</v>
      </c>
    </row>
    <row r="100" spans="1:5" x14ac:dyDescent="0.3">
      <c r="A100" s="3">
        <v>97</v>
      </c>
      <c r="B100">
        <v>1393</v>
      </c>
      <c r="C100">
        <f t="shared" si="3"/>
        <v>60659</v>
      </c>
      <c r="D100">
        <f t="shared" si="2"/>
        <v>1393</v>
      </c>
      <c r="E100">
        <f>-MAX(C$4:C100)+C100</f>
        <v>0</v>
      </c>
    </row>
    <row r="101" spans="1:5" x14ac:dyDescent="0.3">
      <c r="A101" s="3">
        <v>98</v>
      </c>
      <c r="B101">
        <v>82</v>
      </c>
      <c r="C101">
        <f t="shared" si="3"/>
        <v>60741</v>
      </c>
      <c r="D101">
        <f t="shared" si="2"/>
        <v>82</v>
      </c>
      <c r="E101">
        <f>-MAX(C$4:C101)+C101</f>
        <v>0</v>
      </c>
    </row>
    <row r="102" spans="1:5" x14ac:dyDescent="0.3">
      <c r="A102" s="3">
        <v>99</v>
      </c>
      <c r="B102">
        <v>146</v>
      </c>
      <c r="C102">
        <f t="shared" si="3"/>
        <v>60887</v>
      </c>
      <c r="D102">
        <f t="shared" si="2"/>
        <v>146</v>
      </c>
      <c r="E102">
        <f>-MAX(C$4:C102)+C102</f>
        <v>0</v>
      </c>
    </row>
    <row r="103" spans="1:5" x14ac:dyDescent="0.3">
      <c r="A103" s="3">
        <v>100</v>
      </c>
      <c r="B103">
        <v>128</v>
      </c>
      <c r="C103">
        <f t="shared" si="3"/>
        <v>61015</v>
      </c>
      <c r="D103">
        <f t="shared" si="2"/>
        <v>128</v>
      </c>
      <c r="E103">
        <f>-MAX(C$4:C103)+C103</f>
        <v>0</v>
      </c>
    </row>
    <row r="104" spans="1:5" x14ac:dyDescent="0.3">
      <c r="A104" s="3">
        <v>101</v>
      </c>
      <c r="B104">
        <v>-333</v>
      </c>
      <c r="C104">
        <f t="shared" si="3"/>
        <v>60682</v>
      </c>
      <c r="D104">
        <f t="shared" si="2"/>
        <v>-333</v>
      </c>
      <c r="E104">
        <f>-MAX(C$4:C104)+C104</f>
        <v>-333</v>
      </c>
    </row>
    <row r="105" spans="1:5" x14ac:dyDescent="0.3">
      <c r="A105" s="3">
        <v>102</v>
      </c>
      <c r="B105">
        <v>1409</v>
      </c>
      <c r="C105">
        <f t="shared" si="3"/>
        <v>62091</v>
      </c>
      <c r="D105">
        <f t="shared" si="2"/>
        <v>1409</v>
      </c>
      <c r="E105">
        <f>-MAX(C$4:C105)+C105</f>
        <v>0</v>
      </c>
    </row>
    <row r="106" spans="1:5" x14ac:dyDescent="0.3">
      <c r="A106" s="3">
        <v>103</v>
      </c>
      <c r="B106">
        <v>1642</v>
      </c>
      <c r="C106">
        <f t="shared" si="3"/>
        <v>63733</v>
      </c>
      <c r="D106">
        <f t="shared" si="2"/>
        <v>1642</v>
      </c>
      <c r="E106">
        <f>-MAX(C$4:C106)+C106</f>
        <v>0</v>
      </c>
    </row>
    <row r="107" spans="1:5" x14ac:dyDescent="0.3">
      <c r="A107" s="3">
        <v>104</v>
      </c>
      <c r="B107">
        <v>57</v>
      </c>
      <c r="C107">
        <f t="shared" si="3"/>
        <v>63790</v>
      </c>
      <c r="D107">
        <f t="shared" si="2"/>
        <v>57</v>
      </c>
      <c r="E107">
        <f>-MAX(C$4:C107)+C107</f>
        <v>0</v>
      </c>
    </row>
    <row r="108" spans="1:5" x14ac:dyDescent="0.3">
      <c r="A108" s="3">
        <v>105</v>
      </c>
      <c r="B108">
        <v>1370</v>
      </c>
      <c r="C108">
        <f t="shared" si="3"/>
        <v>65160</v>
      </c>
      <c r="D108">
        <f t="shared" si="2"/>
        <v>1370</v>
      </c>
      <c r="E108">
        <f>-MAX(C$4:C108)+C108</f>
        <v>0</v>
      </c>
    </row>
    <row r="109" spans="1:5" x14ac:dyDescent="0.3">
      <c r="A109" s="3">
        <v>106</v>
      </c>
      <c r="B109">
        <v>-818</v>
      </c>
      <c r="C109">
        <f t="shared" si="3"/>
        <v>64342</v>
      </c>
      <c r="D109">
        <f t="shared" si="2"/>
        <v>-818</v>
      </c>
      <c r="E109">
        <f>-MAX(C$4:C109)+C109</f>
        <v>-818</v>
      </c>
    </row>
    <row r="110" spans="1:5" x14ac:dyDescent="0.3">
      <c r="A110" s="3">
        <v>107</v>
      </c>
      <c r="B110">
        <v>-441</v>
      </c>
      <c r="C110">
        <f t="shared" si="3"/>
        <v>63901</v>
      </c>
      <c r="D110">
        <f t="shared" si="2"/>
        <v>-441</v>
      </c>
      <c r="E110">
        <f>-MAX(C$4:C110)+C110</f>
        <v>-1259</v>
      </c>
    </row>
    <row r="111" spans="1:5" x14ac:dyDescent="0.3">
      <c r="A111" s="3">
        <v>108</v>
      </c>
      <c r="B111">
        <v>1441</v>
      </c>
      <c r="C111">
        <f t="shared" si="3"/>
        <v>65342</v>
      </c>
      <c r="D111">
        <f t="shared" si="2"/>
        <v>1441</v>
      </c>
      <c r="E111">
        <f>-MAX(C$4:C111)+C111</f>
        <v>0</v>
      </c>
    </row>
    <row r="112" spans="1:5" x14ac:dyDescent="0.3">
      <c r="A112" s="3">
        <v>109</v>
      </c>
      <c r="B112">
        <v>-399</v>
      </c>
      <c r="C112">
        <f t="shared" si="3"/>
        <v>64943</v>
      </c>
      <c r="D112">
        <f t="shared" si="2"/>
        <v>-399</v>
      </c>
      <c r="E112">
        <f>-MAX(C$4:C112)+C112</f>
        <v>-399</v>
      </c>
    </row>
    <row r="113" spans="1:5" x14ac:dyDescent="0.3">
      <c r="A113" s="3">
        <v>110</v>
      </c>
      <c r="B113">
        <v>1868</v>
      </c>
      <c r="C113">
        <f t="shared" si="3"/>
        <v>66811</v>
      </c>
      <c r="D113">
        <f t="shared" si="2"/>
        <v>1868</v>
      </c>
      <c r="E113">
        <f>-MAX(C$4:C113)+C113</f>
        <v>0</v>
      </c>
    </row>
    <row r="114" spans="1:5" x14ac:dyDescent="0.3">
      <c r="A114" s="3">
        <v>111</v>
      </c>
      <c r="B114">
        <v>-276</v>
      </c>
      <c r="C114">
        <f t="shared" si="3"/>
        <v>66535</v>
      </c>
      <c r="D114">
        <f t="shared" si="2"/>
        <v>-276</v>
      </c>
      <c r="E114">
        <f>-MAX(C$4:C114)+C114</f>
        <v>-276</v>
      </c>
    </row>
    <row r="115" spans="1:5" x14ac:dyDescent="0.3">
      <c r="A115" s="3">
        <v>112</v>
      </c>
      <c r="B115">
        <v>-169</v>
      </c>
      <c r="C115">
        <f t="shared" si="3"/>
        <v>66366</v>
      </c>
      <c r="D115">
        <f t="shared" si="2"/>
        <v>-169</v>
      </c>
      <c r="E115">
        <f>-MAX(C$4:C115)+C115</f>
        <v>-445</v>
      </c>
    </row>
    <row r="116" spans="1:5" x14ac:dyDescent="0.3">
      <c r="A116" s="3">
        <v>113</v>
      </c>
      <c r="B116">
        <v>1173</v>
      </c>
      <c r="C116">
        <f t="shared" si="3"/>
        <v>67539</v>
      </c>
      <c r="D116">
        <f t="shared" si="2"/>
        <v>1173</v>
      </c>
      <c r="E116">
        <f>-MAX(C$4:C116)+C116</f>
        <v>0</v>
      </c>
    </row>
    <row r="117" spans="1:5" x14ac:dyDescent="0.3">
      <c r="A117" s="3">
        <v>114</v>
      </c>
      <c r="B117">
        <v>1643</v>
      </c>
      <c r="C117">
        <f t="shared" si="3"/>
        <v>69182</v>
      </c>
      <c r="D117">
        <f t="shared" si="2"/>
        <v>1643</v>
      </c>
      <c r="E117">
        <f>-MAX(C$4:C117)+C117</f>
        <v>0</v>
      </c>
    </row>
    <row r="118" spans="1:5" x14ac:dyDescent="0.3">
      <c r="A118" s="3">
        <v>115</v>
      </c>
      <c r="B118">
        <v>598</v>
      </c>
      <c r="C118">
        <f t="shared" si="3"/>
        <v>69780</v>
      </c>
      <c r="D118">
        <f t="shared" si="2"/>
        <v>598</v>
      </c>
      <c r="E118">
        <f>-MAX(C$4:C118)+C118</f>
        <v>0</v>
      </c>
    </row>
    <row r="119" spans="1:5" x14ac:dyDescent="0.3">
      <c r="A119" s="3">
        <v>116</v>
      </c>
      <c r="B119">
        <v>-181</v>
      </c>
      <c r="C119">
        <f t="shared" si="3"/>
        <v>69599</v>
      </c>
      <c r="D119">
        <f t="shared" si="2"/>
        <v>-181</v>
      </c>
      <c r="E119">
        <f>-MAX(C$4:C119)+C119</f>
        <v>-181</v>
      </c>
    </row>
    <row r="120" spans="1:5" x14ac:dyDescent="0.3">
      <c r="A120" s="3">
        <v>117</v>
      </c>
      <c r="B120">
        <v>-42</v>
      </c>
      <c r="C120">
        <f t="shared" si="3"/>
        <v>69557</v>
      </c>
      <c r="D120">
        <f t="shared" si="2"/>
        <v>-42</v>
      </c>
      <c r="E120">
        <f>-MAX(C$4:C120)+C120</f>
        <v>-223</v>
      </c>
    </row>
    <row r="121" spans="1:5" x14ac:dyDescent="0.3">
      <c r="A121" s="3">
        <v>118</v>
      </c>
      <c r="B121">
        <v>-119</v>
      </c>
      <c r="C121">
        <f t="shared" si="3"/>
        <v>69438</v>
      </c>
      <c r="D121">
        <f t="shared" si="2"/>
        <v>-119</v>
      </c>
      <c r="E121">
        <f>-MAX(C$4:C121)+C121</f>
        <v>-342</v>
      </c>
    </row>
    <row r="122" spans="1:5" x14ac:dyDescent="0.3">
      <c r="A122" s="3">
        <v>119</v>
      </c>
      <c r="B122">
        <v>652</v>
      </c>
      <c r="C122">
        <f t="shared" si="3"/>
        <v>70090</v>
      </c>
      <c r="D122">
        <f t="shared" si="2"/>
        <v>652</v>
      </c>
      <c r="E122">
        <f>-MAX(C$4:C122)+C122</f>
        <v>0</v>
      </c>
    </row>
    <row r="123" spans="1:5" x14ac:dyDescent="0.3">
      <c r="A123" s="3">
        <v>120</v>
      </c>
      <c r="B123">
        <v>281</v>
      </c>
      <c r="C123">
        <f t="shared" si="3"/>
        <v>70371</v>
      </c>
      <c r="D123">
        <f t="shared" si="2"/>
        <v>281</v>
      </c>
      <c r="E123">
        <f>-MAX(C$4:C123)+C123</f>
        <v>0</v>
      </c>
    </row>
    <row r="124" spans="1:5" x14ac:dyDescent="0.3">
      <c r="A124" s="3">
        <v>121</v>
      </c>
      <c r="B124">
        <v>-187</v>
      </c>
      <c r="C124">
        <f t="shared" si="3"/>
        <v>70184</v>
      </c>
      <c r="D124">
        <f t="shared" si="2"/>
        <v>-187</v>
      </c>
      <c r="E124">
        <f>-MAX(C$4:C124)+C124</f>
        <v>-187</v>
      </c>
    </row>
    <row r="125" spans="1:5" x14ac:dyDescent="0.3">
      <c r="A125" s="3">
        <v>122</v>
      </c>
      <c r="B125">
        <v>1303</v>
      </c>
      <c r="C125">
        <f t="shared" si="3"/>
        <v>71487</v>
      </c>
      <c r="D125">
        <f t="shared" si="2"/>
        <v>1303</v>
      </c>
      <c r="E125">
        <f>-MAX(C$4:C125)+C125</f>
        <v>0</v>
      </c>
    </row>
    <row r="126" spans="1:5" x14ac:dyDescent="0.3">
      <c r="A126" s="3">
        <v>123</v>
      </c>
      <c r="B126">
        <v>549</v>
      </c>
      <c r="C126">
        <f t="shared" si="3"/>
        <v>72036</v>
      </c>
      <c r="D126">
        <f t="shared" si="2"/>
        <v>549</v>
      </c>
      <c r="E126">
        <f>-MAX(C$4:C126)+C126</f>
        <v>0</v>
      </c>
    </row>
    <row r="127" spans="1:5" x14ac:dyDescent="0.3">
      <c r="A127" s="3">
        <v>124</v>
      </c>
      <c r="B127">
        <v>97</v>
      </c>
      <c r="C127">
        <f t="shared" si="3"/>
        <v>72133</v>
      </c>
      <c r="D127">
        <f t="shared" si="2"/>
        <v>97</v>
      </c>
      <c r="E127">
        <f>-MAX(C$4:C127)+C127</f>
        <v>0</v>
      </c>
    </row>
    <row r="128" spans="1:5" x14ac:dyDescent="0.3">
      <c r="A128" s="3">
        <v>125</v>
      </c>
      <c r="B128">
        <v>-469</v>
      </c>
      <c r="C128">
        <f t="shared" si="3"/>
        <v>71664</v>
      </c>
      <c r="D128">
        <f t="shared" si="2"/>
        <v>-469</v>
      </c>
      <c r="E128">
        <f>-MAX(C$4:C128)+C128</f>
        <v>-469</v>
      </c>
    </row>
    <row r="129" spans="1:5" x14ac:dyDescent="0.3">
      <c r="A129" s="3">
        <v>126</v>
      </c>
      <c r="B129">
        <v>1208</v>
      </c>
      <c r="C129">
        <f t="shared" si="3"/>
        <v>72872</v>
      </c>
      <c r="D129">
        <f t="shared" si="2"/>
        <v>1208</v>
      </c>
      <c r="E129">
        <f>-MAX(C$4:C129)+C129</f>
        <v>0</v>
      </c>
    </row>
    <row r="130" spans="1:5" x14ac:dyDescent="0.3">
      <c r="A130" s="3">
        <v>127</v>
      </c>
      <c r="B130">
        <v>1334</v>
      </c>
      <c r="C130">
        <f t="shared" si="3"/>
        <v>74206</v>
      </c>
      <c r="D130">
        <f t="shared" si="2"/>
        <v>1334</v>
      </c>
      <c r="E130">
        <f>-MAX(C$4:C130)+C130</f>
        <v>0</v>
      </c>
    </row>
    <row r="131" spans="1:5" x14ac:dyDescent="0.3">
      <c r="A131" s="3">
        <v>128</v>
      </c>
      <c r="B131">
        <v>626</v>
      </c>
      <c r="C131">
        <f t="shared" si="3"/>
        <v>74832</v>
      </c>
      <c r="D131">
        <f t="shared" si="2"/>
        <v>626</v>
      </c>
      <c r="E131">
        <f>-MAX(C$4:C131)+C131</f>
        <v>0</v>
      </c>
    </row>
    <row r="132" spans="1:5" x14ac:dyDescent="0.3">
      <c r="A132" s="3">
        <v>129</v>
      </c>
      <c r="B132">
        <v>-86</v>
      </c>
      <c r="C132">
        <f t="shared" si="3"/>
        <v>74746</v>
      </c>
      <c r="D132">
        <f t="shared" si="2"/>
        <v>-86</v>
      </c>
      <c r="E132">
        <f>-MAX(C$4:C132)+C132</f>
        <v>-86</v>
      </c>
    </row>
    <row r="133" spans="1:5" x14ac:dyDescent="0.3">
      <c r="A133" s="3">
        <v>130</v>
      </c>
      <c r="B133">
        <v>729</v>
      </c>
      <c r="C133">
        <f t="shared" si="3"/>
        <v>75475</v>
      </c>
      <c r="D133">
        <f t="shared" ref="D133:D196" si="4">B133</f>
        <v>729</v>
      </c>
      <c r="E133">
        <f>-MAX(C$4:C133)+C133</f>
        <v>0</v>
      </c>
    </row>
    <row r="134" spans="1:5" x14ac:dyDescent="0.3">
      <c r="A134" s="3">
        <v>131</v>
      </c>
      <c r="B134">
        <v>432</v>
      </c>
      <c r="C134">
        <f t="shared" ref="C134:C197" si="5">C133+B134</f>
        <v>75907</v>
      </c>
      <c r="D134">
        <f t="shared" si="4"/>
        <v>432</v>
      </c>
      <c r="E134">
        <f>-MAX(C$4:C134)+C134</f>
        <v>0</v>
      </c>
    </row>
    <row r="135" spans="1:5" x14ac:dyDescent="0.3">
      <c r="A135" s="3">
        <v>132</v>
      </c>
      <c r="B135">
        <v>258</v>
      </c>
      <c r="C135">
        <f t="shared" si="5"/>
        <v>76165</v>
      </c>
      <c r="D135">
        <f t="shared" si="4"/>
        <v>258</v>
      </c>
      <c r="E135">
        <f>-MAX(C$4:C135)+C135</f>
        <v>0</v>
      </c>
    </row>
    <row r="136" spans="1:5" x14ac:dyDescent="0.3">
      <c r="A136" s="3">
        <v>133</v>
      </c>
      <c r="B136">
        <v>785</v>
      </c>
      <c r="C136">
        <f t="shared" si="5"/>
        <v>76950</v>
      </c>
      <c r="D136">
        <f t="shared" si="4"/>
        <v>785</v>
      </c>
      <c r="E136">
        <f>-MAX(C$4:C136)+C136</f>
        <v>0</v>
      </c>
    </row>
    <row r="137" spans="1:5" x14ac:dyDescent="0.3">
      <c r="A137" s="3">
        <v>134</v>
      </c>
      <c r="B137">
        <v>626</v>
      </c>
      <c r="C137">
        <f t="shared" si="5"/>
        <v>77576</v>
      </c>
      <c r="D137">
        <f t="shared" si="4"/>
        <v>626</v>
      </c>
      <c r="E137">
        <f>-MAX(C$4:C137)+C137</f>
        <v>0</v>
      </c>
    </row>
    <row r="138" spans="1:5" x14ac:dyDescent="0.3">
      <c r="A138" s="3">
        <v>135</v>
      </c>
      <c r="B138">
        <v>756</v>
      </c>
      <c r="C138">
        <f t="shared" si="5"/>
        <v>78332</v>
      </c>
      <c r="D138">
        <f t="shared" si="4"/>
        <v>756</v>
      </c>
      <c r="E138">
        <f>-MAX(C$4:C138)+C138</f>
        <v>0</v>
      </c>
    </row>
    <row r="139" spans="1:5" x14ac:dyDescent="0.3">
      <c r="A139" s="3">
        <v>136</v>
      </c>
      <c r="B139">
        <v>940</v>
      </c>
      <c r="C139">
        <f t="shared" si="5"/>
        <v>79272</v>
      </c>
      <c r="D139">
        <f t="shared" si="4"/>
        <v>940</v>
      </c>
      <c r="E139">
        <f>-MAX(C$4:C139)+C139</f>
        <v>0</v>
      </c>
    </row>
    <row r="140" spans="1:5" x14ac:dyDescent="0.3">
      <c r="A140" s="3">
        <v>137</v>
      </c>
      <c r="B140">
        <v>685</v>
      </c>
      <c r="C140">
        <f t="shared" si="5"/>
        <v>79957</v>
      </c>
      <c r="D140">
        <f t="shared" si="4"/>
        <v>685</v>
      </c>
      <c r="E140">
        <f>-MAX(C$4:C140)+C140</f>
        <v>0</v>
      </c>
    </row>
    <row r="141" spans="1:5" x14ac:dyDescent="0.3">
      <c r="A141" s="3">
        <v>138</v>
      </c>
      <c r="B141">
        <v>951</v>
      </c>
      <c r="C141">
        <f t="shared" si="5"/>
        <v>80908</v>
      </c>
      <c r="D141">
        <f t="shared" si="4"/>
        <v>951</v>
      </c>
      <c r="E141">
        <f>-MAX(C$4:C141)+C141</f>
        <v>0</v>
      </c>
    </row>
    <row r="142" spans="1:5" x14ac:dyDescent="0.3">
      <c r="A142" s="3">
        <v>139</v>
      </c>
      <c r="B142">
        <v>754</v>
      </c>
      <c r="C142">
        <f t="shared" si="5"/>
        <v>81662</v>
      </c>
      <c r="D142">
        <f t="shared" si="4"/>
        <v>754</v>
      </c>
      <c r="E142">
        <f>-MAX(C$4:C142)+C142</f>
        <v>0</v>
      </c>
    </row>
    <row r="143" spans="1:5" x14ac:dyDescent="0.3">
      <c r="A143" s="3">
        <v>140</v>
      </c>
      <c r="B143">
        <v>660</v>
      </c>
      <c r="C143">
        <f t="shared" si="5"/>
        <v>82322</v>
      </c>
      <c r="D143">
        <f t="shared" si="4"/>
        <v>660</v>
      </c>
      <c r="E143">
        <f>-MAX(C$4:C143)+C143</f>
        <v>0</v>
      </c>
    </row>
    <row r="144" spans="1:5" x14ac:dyDescent="0.3">
      <c r="A144" s="3">
        <v>141</v>
      </c>
      <c r="B144">
        <v>630</v>
      </c>
      <c r="C144">
        <f t="shared" si="5"/>
        <v>82952</v>
      </c>
      <c r="D144">
        <f t="shared" si="4"/>
        <v>630</v>
      </c>
      <c r="E144">
        <f>-MAX(C$4:C144)+C144</f>
        <v>0</v>
      </c>
    </row>
    <row r="145" spans="1:5" x14ac:dyDescent="0.3">
      <c r="A145" s="3">
        <v>142</v>
      </c>
      <c r="B145">
        <v>-613</v>
      </c>
      <c r="C145">
        <f t="shared" si="5"/>
        <v>82339</v>
      </c>
      <c r="D145">
        <f t="shared" si="4"/>
        <v>-613</v>
      </c>
      <c r="E145">
        <f>-MAX(C$4:C145)+C145</f>
        <v>-613</v>
      </c>
    </row>
    <row r="146" spans="1:5" x14ac:dyDescent="0.3">
      <c r="A146" s="3">
        <v>143</v>
      </c>
      <c r="B146">
        <v>846</v>
      </c>
      <c r="C146">
        <f t="shared" si="5"/>
        <v>83185</v>
      </c>
      <c r="D146">
        <f t="shared" si="4"/>
        <v>846</v>
      </c>
      <c r="E146">
        <f>-MAX(C$4:C146)+C146</f>
        <v>0</v>
      </c>
    </row>
    <row r="147" spans="1:5" x14ac:dyDescent="0.3">
      <c r="A147" s="3">
        <v>144</v>
      </c>
      <c r="B147">
        <v>639</v>
      </c>
      <c r="C147">
        <f t="shared" si="5"/>
        <v>83824</v>
      </c>
      <c r="D147">
        <f t="shared" si="4"/>
        <v>639</v>
      </c>
      <c r="E147">
        <f>-MAX(C$4:C147)+C147</f>
        <v>0</v>
      </c>
    </row>
    <row r="148" spans="1:5" x14ac:dyDescent="0.3">
      <c r="A148" s="3">
        <v>145</v>
      </c>
      <c r="B148">
        <v>1507</v>
      </c>
      <c r="C148">
        <f t="shared" si="5"/>
        <v>85331</v>
      </c>
      <c r="D148">
        <f t="shared" si="4"/>
        <v>1507</v>
      </c>
      <c r="E148">
        <f>-MAX(C$4:C148)+C148</f>
        <v>0</v>
      </c>
    </row>
    <row r="149" spans="1:5" x14ac:dyDescent="0.3">
      <c r="A149" s="3">
        <v>146</v>
      </c>
      <c r="B149">
        <v>688</v>
      </c>
      <c r="C149">
        <f t="shared" si="5"/>
        <v>86019</v>
      </c>
      <c r="D149">
        <f t="shared" si="4"/>
        <v>688</v>
      </c>
      <c r="E149">
        <f>-MAX(C$4:C149)+C149</f>
        <v>0</v>
      </c>
    </row>
    <row r="150" spans="1:5" x14ac:dyDescent="0.3">
      <c r="A150" s="3">
        <v>147</v>
      </c>
      <c r="B150">
        <v>983</v>
      </c>
      <c r="C150">
        <f t="shared" si="5"/>
        <v>87002</v>
      </c>
      <c r="D150">
        <f t="shared" si="4"/>
        <v>983</v>
      </c>
      <c r="E150">
        <f>-MAX(C$4:C150)+C150</f>
        <v>0</v>
      </c>
    </row>
    <row r="151" spans="1:5" x14ac:dyDescent="0.3">
      <c r="A151" s="3">
        <v>148</v>
      </c>
      <c r="B151">
        <v>1001</v>
      </c>
      <c r="C151">
        <f t="shared" si="5"/>
        <v>88003</v>
      </c>
      <c r="D151">
        <f t="shared" si="4"/>
        <v>1001</v>
      </c>
      <c r="E151">
        <f>-MAX(C$4:C151)+C151</f>
        <v>0</v>
      </c>
    </row>
    <row r="152" spans="1:5" x14ac:dyDescent="0.3">
      <c r="A152" s="3">
        <v>149</v>
      </c>
      <c r="B152">
        <v>354</v>
      </c>
      <c r="C152">
        <f t="shared" si="5"/>
        <v>88357</v>
      </c>
      <c r="D152">
        <f t="shared" si="4"/>
        <v>354</v>
      </c>
      <c r="E152">
        <f>-MAX(C$4:C152)+C152</f>
        <v>0</v>
      </c>
    </row>
    <row r="153" spans="1:5" x14ac:dyDescent="0.3">
      <c r="A153" s="3">
        <v>150</v>
      </c>
      <c r="B153">
        <v>-7</v>
      </c>
      <c r="C153">
        <f t="shared" si="5"/>
        <v>88350</v>
      </c>
      <c r="D153">
        <f t="shared" si="4"/>
        <v>-7</v>
      </c>
      <c r="E153">
        <f>-MAX(C$4:C153)+C153</f>
        <v>-7</v>
      </c>
    </row>
    <row r="154" spans="1:5" x14ac:dyDescent="0.3">
      <c r="A154" s="3">
        <v>151</v>
      </c>
      <c r="B154">
        <v>1088</v>
      </c>
      <c r="C154">
        <f t="shared" si="5"/>
        <v>89438</v>
      </c>
      <c r="D154">
        <f t="shared" si="4"/>
        <v>1088</v>
      </c>
      <c r="E154">
        <f>-MAX(C$4:C154)+C154</f>
        <v>0</v>
      </c>
    </row>
    <row r="155" spans="1:5" x14ac:dyDescent="0.3">
      <c r="A155" s="3">
        <v>152</v>
      </c>
      <c r="B155">
        <v>713</v>
      </c>
      <c r="C155">
        <f t="shared" si="5"/>
        <v>90151</v>
      </c>
      <c r="D155">
        <f t="shared" si="4"/>
        <v>713</v>
      </c>
      <c r="E155">
        <f>-MAX(C$4:C155)+C155</f>
        <v>0</v>
      </c>
    </row>
    <row r="156" spans="1:5" x14ac:dyDescent="0.3">
      <c r="A156" s="3">
        <v>153</v>
      </c>
      <c r="B156">
        <v>1031</v>
      </c>
      <c r="C156">
        <f t="shared" si="5"/>
        <v>91182</v>
      </c>
      <c r="D156">
        <f t="shared" si="4"/>
        <v>1031</v>
      </c>
      <c r="E156">
        <f>-MAX(C$4:C156)+C156</f>
        <v>0</v>
      </c>
    </row>
    <row r="157" spans="1:5" x14ac:dyDescent="0.3">
      <c r="A157" s="3">
        <v>154</v>
      </c>
      <c r="B157">
        <v>-356</v>
      </c>
      <c r="C157">
        <f t="shared" si="5"/>
        <v>90826</v>
      </c>
      <c r="D157">
        <f t="shared" si="4"/>
        <v>-356</v>
      </c>
      <c r="E157">
        <f>-MAX(C$4:C157)+C157</f>
        <v>-356</v>
      </c>
    </row>
    <row r="158" spans="1:5" x14ac:dyDescent="0.3">
      <c r="A158" s="3">
        <v>155</v>
      </c>
      <c r="B158">
        <v>1035</v>
      </c>
      <c r="C158">
        <f t="shared" si="5"/>
        <v>91861</v>
      </c>
      <c r="D158">
        <f t="shared" si="4"/>
        <v>1035</v>
      </c>
      <c r="E158">
        <f>-MAX(C$4:C158)+C158</f>
        <v>0</v>
      </c>
    </row>
    <row r="159" spans="1:5" x14ac:dyDescent="0.3">
      <c r="A159" s="3">
        <v>156</v>
      </c>
      <c r="B159">
        <v>40</v>
      </c>
      <c r="C159">
        <f t="shared" si="5"/>
        <v>91901</v>
      </c>
      <c r="D159">
        <f t="shared" si="4"/>
        <v>40</v>
      </c>
      <c r="E159">
        <f>-MAX(C$4:C159)+C159</f>
        <v>0</v>
      </c>
    </row>
    <row r="160" spans="1:5" x14ac:dyDescent="0.3">
      <c r="A160" s="3">
        <v>157</v>
      </c>
      <c r="B160">
        <v>383</v>
      </c>
      <c r="C160">
        <f t="shared" si="5"/>
        <v>92284</v>
      </c>
      <c r="D160">
        <f t="shared" si="4"/>
        <v>383</v>
      </c>
      <c r="E160">
        <f>-MAX(C$4:C160)+C160</f>
        <v>0</v>
      </c>
    </row>
    <row r="161" spans="1:5" x14ac:dyDescent="0.3">
      <c r="A161" s="3">
        <v>158</v>
      </c>
      <c r="B161">
        <v>1000</v>
      </c>
      <c r="C161">
        <f t="shared" si="5"/>
        <v>93284</v>
      </c>
      <c r="D161">
        <f t="shared" si="4"/>
        <v>1000</v>
      </c>
      <c r="E161">
        <f>-MAX(C$4:C161)+C161</f>
        <v>0</v>
      </c>
    </row>
    <row r="162" spans="1:5" x14ac:dyDescent="0.3">
      <c r="A162" s="3">
        <v>159</v>
      </c>
      <c r="B162">
        <v>578</v>
      </c>
      <c r="C162">
        <f t="shared" si="5"/>
        <v>93862</v>
      </c>
      <c r="D162">
        <f t="shared" si="4"/>
        <v>578</v>
      </c>
      <c r="E162">
        <f>-MAX(C$4:C162)+C162</f>
        <v>0</v>
      </c>
    </row>
    <row r="163" spans="1:5" x14ac:dyDescent="0.3">
      <c r="A163" s="3">
        <v>160</v>
      </c>
      <c r="B163">
        <v>324</v>
      </c>
      <c r="C163">
        <f t="shared" si="5"/>
        <v>94186</v>
      </c>
      <c r="D163">
        <f t="shared" si="4"/>
        <v>324</v>
      </c>
      <c r="E163">
        <f>-MAX(C$4:C163)+C163</f>
        <v>0</v>
      </c>
    </row>
    <row r="164" spans="1:5" x14ac:dyDescent="0.3">
      <c r="A164" s="3">
        <v>161</v>
      </c>
      <c r="B164">
        <v>-67</v>
      </c>
      <c r="C164">
        <f t="shared" si="5"/>
        <v>94119</v>
      </c>
      <c r="D164">
        <f t="shared" si="4"/>
        <v>-67</v>
      </c>
      <c r="E164">
        <f>-MAX(C$4:C164)+C164</f>
        <v>-67</v>
      </c>
    </row>
    <row r="165" spans="1:5" x14ac:dyDescent="0.3">
      <c r="A165" s="3">
        <v>162</v>
      </c>
      <c r="B165">
        <v>1224</v>
      </c>
      <c r="C165">
        <f t="shared" si="5"/>
        <v>95343</v>
      </c>
      <c r="D165">
        <f t="shared" si="4"/>
        <v>1224</v>
      </c>
      <c r="E165">
        <f>-MAX(C$4:C165)+C165</f>
        <v>0</v>
      </c>
    </row>
    <row r="166" spans="1:5" x14ac:dyDescent="0.3">
      <c r="A166" s="3">
        <v>163</v>
      </c>
      <c r="B166">
        <v>1400</v>
      </c>
      <c r="C166">
        <f t="shared" si="5"/>
        <v>96743</v>
      </c>
      <c r="D166">
        <f t="shared" si="4"/>
        <v>1400</v>
      </c>
      <c r="E166">
        <f>-MAX(C$4:C166)+C166</f>
        <v>0</v>
      </c>
    </row>
    <row r="167" spans="1:5" x14ac:dyDescent="0.3">
      <c r="A167" s="3">
        <v>164</v>
      </c>
      <c r="B167">
        <v>1558</v>
      </c>
      <c r="C167">
        <f t="shared" si="5"/>
        <v>98301</v>
      </c>
      <c r="D167">
        <f t="shared" si="4"/>
        <v>1558</v>
      </c>
      <c r="E167">
        <f>-MAX(C$4:C167)+C167</f>
        <v>0</v>
      </c>
    </row>
    <row r="168" spans="1:5" x14ac:dyDescent="0.3">
      <c r="A168" s="3">
        <v>165</v>
      </c>
      <c r="B168">
        <v>194</v>
      </c>
      <c r="C168">
        <f t="shared" si="5"/>
        <v>98495</v>
      </c>
      <c r="D168">
        <f t="shared" si="4"/>
        <v>194</v>
      </c>
      <c r="E168">
        <f>-MAX(C$4:C168)+C168</f>
        <v>0</v>
      </c>
    </row>
    <row r="169" spans="1:5" x14ac:dyDescent="0.3">
      <c r="A169" s="3">
        <v>166</v>
      </c>
      <c r="B169">
        <v>220</v>
      </c>
      <c r="C169">
        <f t="shared" si="5"/>
        <v>98715</v>
      </c>
      <c r="D169">
        <f t="shared" si="4"/>
        <v>220</v>
      </c>
      <c r="E169">
        <f>-MAX(C$4:C169)+C169</f>
        <v>0</v>
      </c>
    </row>
    <row r="170" spans="1:5" x14ac:dyDescent="0.3">
      <c r="A170" s="3">
        <v>167</v>
      </c>
      <c r="B170">
        <v>480</v>
      </c>
      <c r="C170">
        <f t="shared" si="5"/>
        <v>99195</v>
      </c>
      <c r="D170">
        <f t="shared" si="4"/>
        <v>480</v>
      </c>
      <c r="E170">
        <f>-MAX(C$4:C170)+C170</f>
        <v>0</v>
      </c>
    </row>
    <row r="171" spans="1:5" x14ac:dyDescent="0.3">
      <c r="A171" s="3">
        <v>168</v>
      </c>
      <c r="B171">
        <v>1139</v>
      </c>
      <c r="C171">
        <f t="shared" si="5"/>
        <v>100334</v>
      </c>
      <c r="D171">
        <f t="shared" si="4"/>
        <v>1139</v>
      </c>
      <c r="E171">
        <f>-MAX(C$4:C171)+C171</f>
        <v>0</v>
      </c>
    </row>
    <row r="172" spans="1:5" x14ac:dyDescent="0.3">
      <c r="A172" s="3">
        <v>169</v>
      </c>
      <c r="B172">
        <v>1098</v>
      </c>
      <c r="C172">
        <f t="shared" si="5"/>
        <v>101432</v>
      </c>
      <c r="D172">
        <f t="shared" si="4"/>
        <v>1098</v>
      </c>
      <c r="E172">
        <f>-MAX(C$4:C172)+C172</f>
        <v>0</v>
      </c>
    </row>
    <row r="173" spans="1:5" x14ac:dyDescent="0.3">
      <c r="A173" s="3">
        <v>170</v>
      </c>
      <c r="B173">
        <v>1244</v>
      </c>
      <c r="C173">
        <f t="shared" si="5"/>
        <v>102676</v>
      </c>
      <c r="D173">
        <f t="shared" si="4"/>
        <v>1244</v>
      </c>
      <c r="E173">
        <f>-MAX(C$4:C173)+C173</f>
        <v>0</v>
      </c>
    </row>
    <row r="174" spans="1:5" x14ac:dyDescent="0.3">
      <c r="A174" s="3">
        <v>171</v>
      </c>
      <c r="B174">
        <v>1244</v>
      </c>
      <c r="C174">
        <f t="shared" si="5"/>
        <v>103920</v>
      </c>
      <c r="D174">
        <f t="shared" si="4"/>
        <v>1244</v>
      </c>
      <c r="E174">
        <f>-MAX(C$4:C174)+C174</f>
        <v>0</v>
      </c>
    </row>
    <row r="175" spans="1:5" x14ac:dyDescent="0.3">
      <c r="A175" s="3">
        <v>172</v>
      </c>
      <c r="B175">
        <v>1165</v>
      </c>
      <c r="C175">
        <f t="shared" si="5"/>
        <v>105085</v>
      </c>
      <c r="D175">
        <f t="shared" si="4"/>
        <v>1165</v>
      </c>
      <c r="E175">
        <f>-MAX(C$4:C175)+C175</f>
        <v>0</v>
      </c>
    </row>
    <row r="176" spans="1:5" x14ac:dyDescent="0.3">
      <c r="A176" s="3">
        <v>173</v>
      </c>
      <c r="B176">
        <v>972</v>
      </c>
      <c r="C176">
        <f t="shared" si="5"/>
        <v>106057</v>
      </c>
      <c r="D176">
        <f t="shared" si="4"/>
        <v>972</v>
      </c>
      <c r="E176">
        <f>-MAX(C$4:C176)+C176</f>
        <v>0</v>
      </c>
    </row>
    <row r="177" spans="1:5" x14ac:dyDescent="0.3">
      <c r="A177" s="3">
        <v>174</v>
      </c>
      <c r="B177">
        <v>-370</v>
      </c>
      <c r="C177">
        <f t="shared" si="5"/>
        <v>105687</v>
      </c>
      <c r="D177">
        <f t="shared" si="4"/>
        <v>-370</v>
      </c>
      <c r="E177">
        <f>-MAX(C$4:C177)+C177</f>
        <v>-370</v>
      </c>
    </row>
    <row r="178" spans="1:5" x14ac:dyDescent="0.3">
      <c r="A178" s="3">
        <v>175</v>
      </c>
      <c r="B178">
        <v>-358</v>
      </c>
      <c r="C178">
        <f t="shared" si="5"/>
        <v>105329</v>
      </c>
      <c r="D178">
        <f t="shared" si="4"/>
        <v>-358</v>
      </c>
      <c r="E178">
        <f>-MAX(C$4:C178)+C178</f>
        <v>-728</v>
      </c>
    </row>
    <row r="179" spans="1:5" x14ac:dyDescent="0.3">
      <c r="A179" s="3">
        <v>176</v>
      </c>
      <c r="B179">
        <v>1634</v>
      </c>
      <c r="C179">
        <f t="shared" si="5"/>
        <v>106963</v>
      </c>
      <c r="D179">
        <f t="shared" si="4"/>
        <v>1634</v>
      </c>
      <c r="E179">
        <f>-MAX(C$4:C179)+C179</f>
        <v>0</v>
      </c>
    </row>
    <row r="180" spans="1:5" x14ac:dyDescent="0.3">
      <c r="A180" s="3">
        <v>177</v>
      </c>
      <c r="B180">
        <v>-199</v>
      </c>
      <c r="C180">
        <f t="shared" si="5"/>
        <v>106764</v>
      </c>
      <c r="D180">
        <f t="shared" si="4"/>
        <v>-199</v>
      </c>
      <c r="E180">
        <f>-MAX(C$4:C180)+C180</f>
        <v>-199</v>
      </c>
    </row>
    <row r="181" spans="1:5" x14ac:dyDescent="0.3">
      <c r="A181" s="3">
        <v>178</v>
      </c>
      <c r="B181">
        <v>336</v>
      </c>
      <c r="C181">
        <f t="shared" si="5"/>
        <v>107100</v>
      </c>
      <c r="D181">
        <f t="shared" si="4"/>
        <v>336</v>
      </c>
      <c r="E181">
        <f>-MAX(C$4:C181)+C181</f>
        <v>0</v>
      </c>
    </row>
    <row r="182" spans="1:5" x14ac:dyDescent="0.3">
      <c r="A182" s="3">
        <v>179</v>
      </c>
      <c r="B182">
        <v>473</v>
      </c>
      <c r="C182">
        <f t="shared" si="5"/>
        <v>107573</v>
      </c>
      <c r="D182">
        <f t="shared" si="4"/>
        <v>473</v>
      </c>
      <c r="E182">
        <f>-MAX(C$4:C182)+C182</f>
        <v>0</v>
      </c>
    </row>
    <row r="183" spans="1:5" x14ac:dyDescent="0.3">
      <c r="A183" s="3">
        <v>180</v>
      </c>
      <c r="B183">
        <v>819</v>
      </c>
      <c r="C183">
        <f t="shared" si="5"/>
        <v>108392</v>
      </c>
      <c r="D183">
        <f t="shared" si="4"/>
        <v>819</v>
      </c>
      <c r="E183">
        <f>-MAX(C$4:C183)+C183</f>
        <v>0</v>
      </c>
    </row>
    <row r="184" spans="1:5" x14ac:dyDescent="0.3">
      <c r="A184" s="3">
        <v>181</v>
      </c>
      <c r="B184">
        <v>1593</v>
      </c>
      <c r="C184">
        <f t="shared" si="5"/>
        <v>109985</v>
      </c>
      <c r="D184">
        <f t="shared" si="4"/>
        <v>1593</v>
      </c>
      <c r="E184">
        <f>-MAX(C$4:C184)+C184</f>
        <v>0</v>
      </c>
    </row>
    <row r="185" spans="1:5" x14ac:dyDescent="0.3">
      <c r="A185" s="3">
        <v>182</v>
      </c>
      <c r="B185">
        <v>1431</v>
      </c>
      <c r="C185">
        <f t="shared" si="5"/>
        <v>111416</v>
      </c>
      <c r="D185">
        <f t="shared" si="4"/>
        <v>1431</v>
      </c>
      <c r="E185">
        <f>-MAX(C$4:C185)+C185</f>
        <v>0</v>
      </c>
    </row>
    <row r="186" spans="1:5" x14ac:dyDescent="0.3">
      <c r="A186" s="3">
        <v>183</v>
      </c>
      <c r="B186">
        <v>1238</v>
      </c>
      <c r="C186">
        <f t="shared" si="5"/>
        <v>112654</v>
      </c>
      <c r="D186">
        <f t="shared" si="4"/>
        <v>1238</v>
      </c>
      <c r="E186">
        <f>-MAX(C$4:C186)+C186</f>
        <v>0</v>
      </c>
    </row>
    <row r="187" spans="1:5" x14ac:dyDescent="0.3">
      <c r="A187" s="3">
        <v>184</v>
      </c>
      <c r="B187">
        <v>1041</v>
      </c>
      <c r="C187">
        <f t="shared" si="5"/>
        <v>113695</v>
      </c>
      <c r="D187">
        <f t="shared" si="4"/>
        <v>1041</v>
      </c>
      <c r="E187">
        <f>-MAX(C$4:C187)+C187</f>
        <v>0</v>
      </c>
    </row>
    <row r="188" spans="1:5" x14ac:dyDescent="0.3">
      <c r="A188" s="3">
        <v>185</v>
      </c>
      <c r="B188">
        <v>235</v>
      </c>
      <c r="C188">
        <f t="shared" si="5"/>
        <v>113930</v>
      </c>
      <c r="D188">
        <f t="shared" si="4"/>
        <v>235</v>
      </c>
      <c r="E188">
        <f>-MAX(C$4:C188)+C188</f>
        <v>0</v>
      </c>
    </row>
    <row r="189" spans="1:5" x14ac:dyDescent="0.3">
      <c r="A189" s="3">
        <v>186</v>
      </c>
      <c r="B189">
        <v>936</v>
      </c>
      <c r="C189">
        <f t="shared" si="5"/>
        <v>114866</v>
      </c>
      <c r="D189">
        <f t="shared" si="4"/>
        <v>936</v>
      </c>
      <c r="E189">
        <f>-MAX(C$4:C189)+C189</f>
        <v>0</v>
      </c>
    </row>
    <row r="190" spans="1:5" x14ac:dyDescent="0.3">
      <c r="A190" s="3">
        <v>187</v>
      </c>
      <c r="B190">
        <v>527</v>
      </c>
      <c r="C190">
        <f t="shared" si="5"/>
        <v>115393</v>
      </c>
      <c r="D190">
        <f t="shared" si="4"/>
        <v>527</v>
      </c>
      <c r="E190">
        <f>-MAX(C$4:C190)+C190</f>
        <v>0</v>
      </c>
    </row>
    <row r="191" spans="1:5" x14ac:dyDescent="0.3">
      <c r="A191" s="3">
        <v>188</v>
      </c>
      <c r="B191">
        <v>1095</v>
      </c>
      <c r="C191">
        <f t="shared" si="5"/>
        <v>116488</v>
      </c>
      <c r="D191">
        <f t="shared" si="4"/>
        <v>1095</v>
      </c>
      <c r="E191">
        <f>-MAX(C$4:C191)+C191</f>
        <v>0</v>
      </c>
    </row>
    <row r="192" spans="1:5" x14ac:dyDescent="0.3">
      <c r="A192" s="3">
        <v>189</v>
      </c>
      <c r="B192">
        <v>12</v>
      </c>
      <c r="C192">
        <f t="shared" si="5"/>
        <v>116500</v>
      </c>
      <c r="D192">
        <f t="shared" si="4"/>
        <v>12</v>
      </c>
      <c r="E192">
        <f>-MAX(C$4:C192)+C192</f>
        <v>0</v>
      </c>
    </row>
    <row r="193" spans="1:5" x14ac:dyDescent="0.3">
      <c r="A193" s="3">
        <v>190</v>
      </c>
      <c r="B193">
        <v>-194</v>
      </c>
      <c r="C193">
        <f t="shared" si="5"/>
        <v>116306</v>
      </c>
      <c r="D193">
        <f t="shared" si="4"/>
        <v>-194</v>
      </c>
      <c r="E193">
        <f>-MAX(C$4:C193)+C193</f>
        <v>-194</v>
      </c>
    </row>
    <row r="194" spans="1:5" x14ac:dyDescent="0.3">
      <c r="A194" s="3">
        <v>191</v>
      </c>
      <c r="B194">
        <v>177</v>
      </c>
      <c r="C194">
        <f t="shared" si="5"/>
        <v>116483</v>
      </c>
      <c r="D194">
        <f t="shared" si="4"/>
        <v>177</v>
      </c>
      <c r="E194">
        <f>-MAX(C$4:C194)+C194</f>
        <v>-17</v>
      </c>
    </row>
    <row r="195" spans="1:5" x14ac:dyDescent="0.3">
      <c r="A195" s="3">
        <v>192</v>
      </c>
      <c r="B195">
        <v>603</v>
      </c>
      <c r="C195">
        <f t="shared" si="5"/>
        <v>117086</v>
      </c>
      <c r="D195">
        <f t="shared" si="4"/>
        <v>603</v>
      </c>
      <c r="E195">
        <f>-MAX(C$4:C195)+C195</f>
        <v>0</v>
      </c>
    </row>
    <row r="196" spans="1:5" x14ac:dyDescent="0.3">
      <c r="A196" s="3">
        <v>193</v>
      </c>
      <c r="B196">
        <v>203</v>
      </c>
      <c r="C196">
        <f t="shared" si="5"/>
        <v>117289</v>
      </c>
      <c r="D196">
        <f t="shared" si="4"/>
        <v>203</v>
      </c>
      <c r="E196">
        <f>-MAX(C$4:C196)+C196</f>
        <v>0</v>
      </c>
    </row>
    <row r="197" spans="1:5" x14ac:dyDescent="0.3">
      <c r="A197" s="3">
        <v>194</v>
      </c>
      <c r="B197">
        <v>14</v>
      </c>
      <c r="C197">
        <f t="shared" si="5"/>
        <v>117303</v>
      </c>
      <c r="D197">
        <f t="shared" ref="D197:D253" si="6">B197</f>
        <v>14</v>
      </c>
      <c r="E197">
        <f>-MAX(C$4:C197)+C197</f>
        <v>0</v>
      </c>
    </row>
    <row r="198" spans="1:5" x14ac:dyDescent="0.3">
      <c r="A198" s="3">
        <v>195</v>
      </c>
      <c r="B198">
        <v>1613</v>
      </c>
      <c r="C198">
        <f t="shared" ref="C198:C253" si="7">C197+B198</f>
        <v>118916</v>
      </c>
      <c r="D198">
        <f t="shared" si="6"/>
        <v>1613</v>
      </c>
      <c r="E198">
        <f>-MAX(C$4:C198)+C198</f>
        <v>0</v>
      </c>
    </row>
    <row r="199" spans="1:5" x14ac:dyDescent="0.3">
      <c r="A199" s="3">
        <v>196</v>
      </c>
      <c r="B199">
        <v>-1</v>
      </c>
      <c r="C199">
        <f t="shared" si="7"/>
        <v>118915</v>
      </c>
      <c r="D199">
        <f t="shared" si="6"/>
        <v>-1</v>
      </c>
      <c r="E199">
        <f>-MAX(C$4:C199)+C199</f>
        <v>-1</v>
      </c>
    </row>
    <row r="200" spans="1:5" x14ac:dyDescent="0.3">
      <c r="A200" s="3">
        <v>197</v>
      </c>
      <c r="B200">
        <v>563</v>
      </c>
      <c r="C200">
        <f t="shared" si="7"/>
        <v>119478</v>
      </c>
      <c r="D200">
        <f t="shared" si="6"/>
        <v>563</v>
      </c>
      <c r="E200">
        <f>-MAX(C$4:C200)+C200</f>
        <v>0</v>
      </c>
    </row>
    <row r="201" spans="1:5" x14ac:dyDescent="0.3">
      <c r="A201" s="3">
        <v>198</v>
      </c>
      <c r="B201">
        <v>1112</v>
      </c>
      <c r="C201">
        <f t="shared" si="7"/>
        <v>120590</v>
      </c>
      <c r="D201">
        <f t="shared" si="6"/>
        <v>1112</v>
      </c>
      <c r="E201">
        <f>-MAX(C$4:C201)+C201</f>
        <v>0</v>
      </c>
    </row>
    <row r="202" spans="1:5" x14ac:dyDescent="0.3">
      <c r="A202" s="3">
        <v>199</v>
      </c>
      <c r="B202">
        <v>-572</v>
      </c>
      <c r="C202">
        <f t="shared" si="7"/>
        <v>120018</v>
      </c>
      <c r="D202">
        <f t="shared" si="6"/>
        <v>-572</v>
      </c>
      <c r="E202">
        <f>-MAX(C$4:C202)+C202</f>
        <v>-572</v>
      </c>
    </row>
    <row r="203" spans="1:5" x14ac:dyDescent="0.3">
      <c r="A203" s="3">
        <v>200</v>
      </c>
      <c r="B203">
        <v>-438</v>
      </c>
      <c r="C203">
        <f t="shared" si="7"/>
        <v>119580</v>
      </c>
      <c r="D203">
        <f t="shared" si="6"/>
        <v>-438</v>
      </c>
      <c r="E203">
        <f>-MAX(C$4:C203)+C203</f>
        <v>-1010</v>
      </c>
    </row>
    <row r="204" spans="1:5" x14ac:dyDescent="0.3">
      <c r="A204" s="3">
        <v>201</v>
      </c>
      <c r="B204">
        <v>756</v>
      </c>
      <c r="C204">
        <f t="shared" si="7"/>
        <v>120336</v>
      </c>
      <c r="D204">
        <f t="shared" si="6"/>
        <v>756</v>
      </c>
      <c r="E204">
        <f>-MAX(C$4:C204)+C204</f>
        <v>-254</v>
      </c>
    </row>
    <row r="205" spans="1:5" x14ac:dyDescent="0.3">
      <c r="A205" s="3">
        <v>202</v>
      </c>
      <c r="B205">
        <v>690</v>
      </c>
      <c r="C205">
        <f t="shared" si="7"/>
        <v>121026</v>
      </c>
      <c r="D205">
        <f t="shared" si="6"/>
        <v>690</v>
      </c>
      <c r="E205">
        <f>-MAX(C$4:C205)+C205</f>
        <v>0</v>
      </c>
    </row>
    <row r="206" spans="1:5" x14ac:dyDescent="0.3">
      <c r="A206" s="3">
        <v>203</v>
      </c>
      <c r="B206">
        <v>1130</v>
      </c>
      <c r="C206">
        <f t="shared" si="7"/>
        <v>122156</v>
      </c>
      <c r="D206">
        <f t="shared" si="6"/>
        <v>1130</v>
      </c>
      <c r="E206">
        <f>-MAX(C$4:C206)+C206</f>
        <v>0</v>
      </c>
    </row>
    <row r="207" spans="1:5" x14ac:dyDescent="0.3">
      <c r="A207" s="3">
        <v>204</v>
      </c>
      <c r="B207">
        <v>279</v>
      </c>
      <c r="C207">
        <f t="shared" si="7"/>
        <v>122435</v>
      </c>
      <c r="D207">
        <f t="shared" si="6"/>
        <v>279</v>
      </c>
      <c r="E207">
        <f>-MAX(C$4:C207)+C207</f>
        <v>0</v>
      </c>
    </row>
    <row r="208" spans="1:5" x14ac:dyDescent="0.3">
      <c r="A208" s="3">
        <v>205</v>
      </c>
      <c r="B208">
        <v>455</v>
      </c>
      <c r="C208">
        <f t="shared" si="7"/>
        <v>122890</v>
      </c>
      <c r="D208">
        <f t="shared" si="6"/>
        <v>455</v>
      </c>
      <c r="E208">
        <f>-MAX(C$4:C208)+C208</f>
        <v>0</v>
      </c>
    </row>
    <row r="209" spans="1:5" x14ac:dyDescent="0.3">
      <c r="A209" s="3">
        <v>206</v>
      </c>
      <c r="B209">
        <v>1668</v>
      </c>
      <c r="C209">
        <f t="shared" si="7"/>
        <v>124558</v>
      </c>
      <c r="D209">
        <f t="shared" si="6"/>
        <v>1668</v>
      </c>
      <c r="E209">
        <f>-MAX(C$4:C209)+C209</f>
        <v>0</v>
      </c>
    </row>
    <row r="210" spans="1:5" x14ac:dyDescent="0.3">
      <c r="A210" s="3">
        <v>207</v>
      </c>
      <c r="B210">
        <v>44</v>
      </c>
      <c r="C210">
        <f t="shared" si="7"/>
        <v>124602</v>
      </c>
      <c r="D210">
        <f t="shared" si="6"/>
        <v>44</v>
      </c>
      <c r="E210">
        <f>-MAX(C$4:C210)+C210</f>
        <v>0</v>
      </c>
    </row>
    <row r="211" spans="1:5" x14ac:dyDescent="0.3">
      <c r="A211" s="3">
        <v>208</v>
      </c>
      <c r="B211">
        <v>-263</v>
      </c>
      <c r="C211">
        <f t="shared" si="7"/>
        <v>124339</v>
      </c>
      <c r="D211">
        <f t="shared" si="6"/>
        <v>-263</v>
      </c>
      <c r="E211">
        <f>-MAX(C$4:C211)+C211</f>
        <v>-263</v>
      </c>
    </row>
    <row r="212" spans="1:5" x14ac:dyDescent="0.3">
      <c r="A212" s="3">
        <v>209</v>
      </c>
      <c r="B212">
        <v>966</v>
      </c>
      <c r="C212">
        <f t="shared" si="7"/>
        <v>125305</v>
      </c>
      <c r="D212">
        <f t="shared" si="6"/>
        <v>966</v>
      </c>
      <c r="E212">
        <f>-MAX(C$4:C212)+C212</f>
        <v>0</v>
      </c>
    </row>
    <row r="213" spans="1:5" x14ac:dyDescent="0.3">
      <c r="A213" s="3">
        <v>210</v>
      </c>
      <c r="B213">
        <v>924</v>
      </c>
      <c r="C213">
        <f t="shared" si="7"/>
        <v>126229</v>
      </c>
      <c r="D213">
        <f t="shared" si="6"/>
        <v>924</v>
      </c>
      <c r="E213">
        <f>-MAX(C$4:C213)+C213</f>
        <v>0</v>
      </c>
    </row>
    <row r="214" spans="1:5" x14ac:dyDescent="0.3">
      <c r="A214" s="3">
        <v>211</v>
      </c>
      <c r="B214">
        <v>389</v>
      </c>
      <c r="C214">
        <f t="shared" si="7"/>
        <v>126618</v>
      </c>
      <c r="D214">
        <f t="shared" si="6"/>
        <v>389</v>
      </c>
      <c r="E214">
        <f>-MAX(C$4:C214)+C214</f>
        <v>0</v>
      </c>
    </row>
    <row r="215" spans="1:5" x14ac:dyDescent="0.3">
      <c r="A215" s="3">
        <v>212</v>
      </c>
      <c r="B215">
        <v>572</v>
      </c>
      <c r="C215">
        <f t="shared" si="7"/>
        <v>127190</v>
      </c>
      <c r="D215">
        <f t="shared" si="6"/>
        <v>572</v>
      </c>
      <c r="E215">
        <f>-MAX(C$4:C215)+C215</f>
        <v>0</v>
      </c>
    </row>
    <row r="216" spans="1:5" x14ac:dyDescent="0.3">
      <c r="A216" s="3">
        <v>213</v>
      </c>
      <c r="B216">
        <v>299</v>
      </c>
      <c r="C216">
        <f t="shared" si="7"/>
        <v>127489</v>
      </c>
      <c r="D216">
        <f t="shared" si="6"/>
        <v>299</v>
      </c>
      <c r="E216">
        <f>-MAX(C$4:C216)+C216</f>
        <v>0</v>
      </c>
    </row>
    <row r="217" spans="1:5" x14ac:dyDescent="0.3">
      <c r="A217" s="3">
        <v>214</v>
      </c>
      <c r="B217">
        <v>417</v>
      </c>
      <c r="C217">
        <f t="shared" si="7"/>
        <v>127906</v>
      </c>
      <c r="D217">
        <f t="shared" si="6"/>
        <v>417</v>
      </c>
      <c r="E217">
        <f>-MAX(C$4:C217)+C217</f>
        <v>0</v>
      </c>
    </row>
    <row r="218" spans="1:5" x14ac:dyDescent="0.3">
      <c r="A218" s="3">
        <v>215</v>
      </c>
      <c r="B218">
        <v>903</v>
      </c>
      <c r="C218">
        <f t="shared" si="7"/>
        <v>128809</v>
      </c>
      <c r="D218">
        <f t="shared" si="6"/>
        <v>903</v>
      </c>
      <c r="E218">
        <f>-MAX(C$4:C218)+C218</f>
        <v>0</v>
      </c>
    </row>
    <row r="219" spans="1:5" x14ac:dyDescent="0.3">
      <c r="A219" s="3">
        <v>216</v>
      </c>
      <c r="B219">
        <v>848</v>
      </c>
      <c r="C219">
        <f t="shared" si="7"/>
        <v>129657</v>
      </c>
      <c r="D219">
        <f t="shared" si="6"/>
        <v>848</v>
      </c>
      <c r="E219">
        <f>-MAX(C$4:C219)+C219</f>
        <v>0</v>
      </c>
    </row>
    <row r="220" spans="1:5" x14ac:dyDescent="0.3">
      <c r="A220" s="3">
        <v>217</v>
      </c>
      <c r="B220">
        <v>166</v>
      </c>
      <c r="C220">
        <f t="shared" si="7"/>
        <v>129823</v>
      </c>
      <c r="D220">
        <f t="shared" si="6"/>
        <v>166</v>
      </c>
      <c r="E220">
        <f>-MAX(C$4:C220)+C220</f>
        <v>0</v>
      </c>
    </row>
    <row r="221" spans="1:5" x14ac:dyDescent="0.3">
      <c r="A221" s="3">
        <v>218</v>
      </c>
      <c r="B221">
        <v>-203</v>
      </c>
      <c r="C221">
        <f t="shared" si="7"/>
        <v>129620</v>
      </c>
      <c r="D221">
        <f t="shared" si="6"/>
        <v>-203</v>
      </c>
      <c r="E221">
        <f>-MAX(C$4:C221)+C221</f>
        <v>-203</v>
      </c>
    </row>
    <row r="222" spans="1:5" x14ac:dyDescent="0.3">
      <c r="A222" s="3">
        <v>219</v>
      </c>
      <c r="B222">
        <v>-61</v>
      </c>
      <c r="C222">
        <f t="shared" si="7"/>
        <v>129559</v>
      </c>
      <c r="D222">
        <f t="shared" si="6"/>
        <v>-61</v>
      </c>
      <c r="E222">
        <f>-MAX(C$4:C222)+C222</f>
        <v>-264</v>
      </c>
    </row>
    <row r="223" spans="1:5" x14ac:dyDescent="0.3">
      <c r="A223" s="3">
        <v>220</v>
      </c>
      <c r="B223">
        <v>244</v>
      </c>
      <c r="C223">
        <f t="shared" si="7"/>
        <v>129803</v>
      </c>
      <c r="D223">
        <f t="shared" si="6"/>
        <v>244</v>
      </c>
      <c r="E223">
        <f>-MAX(C$4:C223)+C223</f>
        <v>-20</v>
      </c>
    </row>
    <row r="224" spans="1:5" x14ac:dyDescent="0.3">
      <c r="A224" s="3">
        <v>221</v>
      </c>
      <c r="B224">
        <v>1106</v>
      </c>
      <c r="C224">
        <f t="shared" si="7"/>
        <v>130909</v>
      </c>
      <c r="D224">
        <f t="shared" si="6"/>
        <v>1106</v>
      </c>
      <c r="E224">
        <f>-MAX(C$4:C224)+C224</f>
        <v>0</v>
      </c>
    </row>
    <row r="225" spans="1:5" x14ac:dyDescent="0.3">
      <c r="A225" s="3">
        <v>222</v>
      </c>
      <c r="B225">
        <v>-389</v>
      </c>
      <c r="C225">
        <f t="shared" si="7"/>
        <v>130520</v>
      </c>
      <c r="D225">
        <f t="shared" si="6"/>
        <v>-389</v>
      </c>
      <c r="E225">
        <f>-MAX(C$4:C225)+C225</f>
        <v>-389</v>
      </c>
    </row>
    <row r="226" spans="1:5" x14ac:dyDescent="0.3">
      <c r="A226" s="3">
        <v>223</v>
      </c>
      <c r="B226">
        <v>455</v>
      </c>
      <c r="C226">
        <f t="shared" si="7"/>
        <v>130975</v>
      </c>
      <c r="D226">
        <f t="shared" si="6"/>
        <v>455</v>
      </c>
      <c r="E226">
        <f>-MAX(C$4:C226)+C226</f>
        <v>0</v>
      </c>
    </row>
    <row r="227" spans="1:5" x14ac:dyDescent="0.3">
      <c r="A227" s="3">
        <v>224</v>
      </c>
      <c r="B227">
        <v>1093</v>
      </c>
      <c r="C227">
        <f t="shared" si="7"/>
        <v>132068</v>
      </c>
      <c r="D227">
        <f t="shared" si="6"/>
        <v>1093</v>
      </c>
      <c r="E227">
        <f>-MAX(C$4:C227)+C227</f>
        <v>0</v>
      </c>
    </row>
    <row r="228" spans="1:5" x14ac:dyDescent="0.3">
      <c r="A228" s="3">
        <v>225</v>
      </c>
      <c r="B228">
        <v>1102</v>
      </c>
      <c r="C228">
        <f t="shared" si="7"/>
        <v>133170</v>
      </c>
      <c r="D228">
        <f t="shared" si="6"/>
        <v>1102</v>
      </c>
      <c r="E228">
        <f>-MAX(C$4:C228)+C228</f>
        <v>0</v>
      </c>
    </row>
    <row r="229" spans="1:5" x14ac:dyDescent="0.3">
      <c r="A229" s="3">
        <v>226</v>
      </c>
      <c r="B229">
        <v>112</v>
      </c>
      <c r="C229">
        <f t="shared" si="7"/>
        <v>133282</v>
      </c>
      <c r="D229">
        <f t="shared" si="6"/>
        <v>112</v>
      </c>
      <c r="E229">
        <f>-MAX(C$4:C229)+C229</f>
        <v>0</v>
      </c>
    </row>
    <row r="230" spans="1:5" x14ac:dyDescent="0.3">
      <c r="A230" s="3">
        <v>227</v>
      </c>
      <c r="B230">
        <v>950</v>
      </c>
      <c r="C230">
        <f t="shared" si="7"/>
        <v>134232</v>
      </c>
      <c r="D230">
        <f t="shared" si="6"/>
        <v>950</v>
      </c>
      <c r="E230">
        <f>-MAX(C$4:C230)+C230</f>
        <v>0</v>
      </c>
    </row>
    <row r="231" spans="1:5" x14ac:dyDescent="0.3">
      <c r="A231" s="3">
        <v>228</v>
      </c>
      <c r="B231">
        <v>548</v>
      </c>
      <c r="C231">
        <f t="shared" si="7"/>
        <v>134780</v>
      </c>
      <c r="D231">
        <f t="shared" si="6"/>
        <v>548</v>
      </c>
      <c r="E231">
        <f>-MAX(C$4:C231)+C231</f>
        <v>0</v>
      </c>
    </row>
    <row r="232" spans="1:5" x14ac:dyDescent="0.3">
      <c r="A232" s="3">
        <v>229</v>
      </c>
      <c r="B232">
        <v>-797</v>
      </c>
      <c r="C232">
        <f t="shared" si="7"/>
        <v>133983</v>
      </c>
      <c r="D232">
        <f t="shared" si="6"/>
        <v>-797</v>
      </c>
      <c r="E232">
        <f>-MAX(C$4:C232)+C232</f>
        <v>-797</v>
      </c>
    </row>
    <row r="233" spans="1:5" x14ac:dyDescent="0.3">
      <c r="A233" s="3">
        <v>230</v>
      </c>
      <c r="B233">
        <v>995</v>
      </c>
      <c r="C233">
        <f t="shared" si="7"/>
        <v>134978</v>
      </c>
      <c r="D233">
        <f t="shared" si="6"/>
        <v>995</v>
      </c>
      <c r="E233">
        <f>-MAX(C$4:C233)+C233</f>
        <v>0</v>
      </c>
    </row>
    <row r="234" spans="1:5" x14ac:dyDescent="0.3">
      <c r="A234" s="3">
        <v>231</v>
      </c>
      <c r="B234">
        <v>818</v>
      </c>
      <c r="C234">
        <f t="shared" si="7"/>
        <v>135796</v>
      </c>
      <c r="D234">
        <f t="shared" si="6"/>
        <v>818</v>
      </c>
      <c r="E234">
        <f>-MAX(C$4:C234)+C234</f>
        <v>0</v>
      </c>
    </row>
    <row r="235" spans="1:5" x14ac:dyDescent="0.3">
      <c r="A235" s="3">
        <v>232</v>
      </c>
      <c r="B235">
        <v>1237</v>
      </c>
      <c r="C235">
        <f t="shared" si="7"/>
        <v>137033</v>
      </c>
      <c r="D235">
        <f t="shared" si="6"/>
        <v>1237</v>
      </c>
      <c r="E235">
        <f>-MAX(C$4:C235)+C235</f>
        <v>0</v>
      </c>
    </row>
    <row r="236" spans="1:5" x14ac:dyDescent="0.3">
      <c r="A236" s="3">
        <v>233</v>
      </c>
      <c r="B236">
        <v>516</v>
      </c>
      <c r="C236">
        <f t="shared" si="7"/>
        <v>137549</v>
      </c>
      <c r="D236">
        <f t="shared" si="6"/>
        <v>516</v>
      </c>
      <c r="E236">
        <f>-MAX(C$4:C236)+C236</f>
        <v>0</v>
      </c>
    </row>
    <row r="237" spans="1:5" x14ac:dyDescent="0.3">
      <c r="A237" s="3">
        <v>234</v>
      </c>
      <c r="B237">
        <v>424</v>
      </c>
      <c r="C237">
        <f t="shared" si="7"/>
        <v>137973</v>
      </c>
      <c r="D237">
        <f t="shared" si="6"/>
        <v>424</v>
      </c>
      <c r="E237">
        <f>-MAX(C$4:C237)+C237</f>
        <v>0</v>
      </c>
    </row>
    <row r="238" spans="1:5" x14ac:dyDescent="0.3">
      <c r="A238" s="3">
        <v>235</v>
      </c>
      <c r="B238">
        <v>1726</v>
      </c>
      <c r="C238">
        <f t="shared" si="7"/>
        <v>139699</v>
      </c>
      <c r="D238">
        <f t="shared" si="6"/>
        <v>1726</v>
      </c>
      <c r="E238">
        <f>-MAX(C$4:C238)+C238</f>
        <v>0</v>
      </c>
    </row>
    <row r="239" spans="1:5" x14ac:dyDescent="0.3">
      <c r="A239" s="3">
        <v>236</v>
      </c>
      <c r="B239">
        <v>734</v>
      </c>
      <c r="C239">
        <f t="shared" si="7"/>
        <v>140433</v>
      </c>
      <c r="D239">
        <f t="shared" si="6"/>
        <v>734</v>
      </c>
      <c r="E239">
        <f>-MAX(C$4:C239)+C239</f>
        <v>0</v>
      </c>
    </row>
    <row r="240" spans="1:5" x14ac:dyDescent="0.3">
      <c r="A240" s="3">
        <v>237</v>
      </c>
      <c r="B240">
        <v>675</v>
      </c>
      <c r="C240">
        <f t="shared" si="7"/>
        <v>141108</v>
      </c>
      <c r="D240">
        <f t="shared" si="6"/>
        <v>675</v>
      </c>
      <c r="E240">
        <f>-MAX(C$4:C240)+C240</f>
        <v>0</v>
      </c>
    </row>
    <row r="241" spans="1:5" x14ac:dyDescent="0.3">
      <c r="A241" s="3">
        <v>238</v>
      </c>
      <c r="B241">
        <v>-91</v>
      </c>
      <c r="C241">
        <f t="shared" si="7"/>
        <v>141017</v>
      </c>
      <c r="D241">
        <f t="shared" si="6"/>
        <v>-91</v>
      </c>
      <c r="E241">
        <f>-MAX(C$4:C241)+C241</f>
        <v>-91</v>
      </c>
    </row>
    <row r="242" spans="1:5" x14ac:dyDescent="0.3">
      <c r="A242" s="3">
        <v>239</v>
      </c>
      <c r="B242">
        <v>1014</v>
      </c>
      <c r="C242">
        <f t="shared" si="7"/>
        <v>142031</v>
      </c>
      <c r="D242">
        <f t="shared" si="6"/>
        <v>1014</v>
      </c>
      <c r="E242">
        <f>-MAX(C$4:C242)+C242</f>
        <v>0</v>
      </c>
    </row>
    <row r="243" spans="1:5" x14ac:dyDescent="0.3">
      <c r="A243" s="3">
        <v>240</v>
      </c>
      <c r="B243">
        <v>-193</v>
      </c>
      <c r="C243">
        <f t="shared" si="7"/>
        <v>141838</v>
      </c>
      <c r="D243">
        <f t="shared" si="6"/>
        <v>-193</v>
      </c>
      <c r="E243">
        <f>-MAX(C$4:C243)+C243</f>
        <v>-193</v>
      </c>
    </row>
    <row r="244" spans="1:5" x14ac:dyDescent="0.3">
      <c r="A244" s="3">
        <v>241</v>
      </c>
      <c r="B244">
        <v>-172</v>
      </c>
      <c r="C244">
        <f t="shared" si="7"/>
        <v>141666</v>
      </c>
      <c r="D244">
        <f t="shared" si="6"/>
        <v>-172</v>
      </c>
      <c r="E244">
        <f>-MAX(C$4:C244)+C244</f>
        <v>-365</v>
      </c>
    </row>
    <row r="245" spans="1:5" x14ac:dyDescent="0.3">
      <c r="A245" s="3">
        <v>242</v>
      </c>
      <c r="B245">
        <v>-162</v>
      </c>
      <c r="C245">
        <f t="shared" si="7"/>
        <v>141504</v>
      </c>
      <c r="D245">
        <f t="shared" si="6"/>
        <v>-162</v>
      </c>
      <c r="E245">
        <f>-MAX(C$4:C245)+C245</f>
        <v>-527</v>
      </c>
    </row>
    <row r="246" spans="1:5" x14ac:dyDescent="0.3">
      <c r="A246" s="3">
        <v>243</v>
      </c>
      <c r="B246">
        <v>765</v>
      </c>
      <c r="C246">
        <f t="shared" si="7"/>
        <v>142269</v>
      </c>
      <c r="D246">
        <f t="shared" si="6"/>
        <v>765</v>
      </c>
      <c r="E246">
        <f>-MAX(C$4:C246)+C246</f>
        <v>0</v>
      </c>
    </row>
    <row r="247" spans="1:5" x14ac:dyDescent="0.3">
      <c r="A247" s="3">
        <v>244</v>
      </c>
      <c r="B247">
        <v>691</v>
      </c>
      <c r="C247">
        <f t="shared" si="7"/>
        <v>142960</v>
      </c>
      <c r="D247">
        <f t="shared" si="6"/>
        <v>691</v>
      </c>
      <c r="E247">
        <f>-MAX(C$4:C247)+C247</f>
        <v>0</v>
      </c>
    </row>
    <row r="248" spans="1:5" x14ac:dyDescent="0.3">
      <c r="A248" s="3">
        <v>245</v>
      </c>
      <c r="B248">
        <v>102</v>
      </c>
      <c r="C248">
        <f t="shared" si="7"/>
        <v>143062</v>
      </c>
      <c r="D248">
        <f t="shared" si="6"/>
        <v>102</v>
      </c>
      <c r="E248">
        <f>-MAX(C$4:C248)+C248</f>
        <v>0</v>
      </c>
    </row>
    <row r="249" spans="1:5" x14ac:dyDescent="0.3">
      <c r="A249" s="3">
        <v>246</v>
      </c>
      <c r="B249">
        <v>130</v>
      </c>
      <c r="C249">
        <f t="shared" si="7"/>
        <v>143192</v>
      </c>
      <c r="D249">
        <f t="shared" si="6"/>
        <v>130</v>
      </c>
      <c r="E249">
        <f>-MAX(C$4:C249)+C249</f>
        <v>0</v>
      </c>
    </row>
    <row r="250" spans="1:5" x14ac:dyDescent="0.3">
      <c r="A250" s="3">
        <v>247</v>
      </c>
      <c r="B250">
        <v>721</v>
      </c>
      <c r="C250">
        <f t="shared" si="7"/>
        <v>143913</v>
      </c>
      <c r="D250">
        <f t="shared" si="6"/>
        <v>721</v>
      </c>
      <c r="E250">
        <f>-MAX(C$4:C250)+C250</f>
        <v>0</v>
      </c>
    </row>
    <row r="251" spans="1:5" x14ac:dyDescent="0.3">
      <c r="A251" s="3">
        <v>248</v>
      </c>
      <c r="B251">
        <v>-200</v>
      </c>
      <c r="C251">
        <f t="shared" si="7"/>
        <v>143713</v>
      </c>
      <c r="D251">
        <f t="shared" si="6"/>
        <v>-200</v>
      </c>
      <c r="E251">
        <f>-MAX(C$4:C251)+C251</f>
        <v>-200</v>
      </c>
    </row>
    <row r="252" spans="1:5" x14ac:dyDescent="0.3">
      <c r="A252" s="3">
        <v>249</v>
      </c>
      <c r="B252">
        <v>-122</v>
      </c>
      <c r="C252">
        <f t="shared" si="7"/>
        <v>143591</v>
      </c>
      <c r="D252">
        <f t="shared" si="6"/>
        <v>-122</v>
      </c>
      <c r="E252">
        <f>-MAX(C$4:C252)+C252</f>
        <v>-322</v>
      </c>
    </row>
    <row r="253" spans="1:5" x14ac:dyDescent="0.3">
      <c r="A253" s="3">
        <v>250</v>
      </c>
      <c r="B253">
        <v>-174</v>
      </c>
      <c r="C253">
        <f t="shared" si="7"/>
        <v>143417</v>
      </c>
      <c r="D253">
        <f t="shared" si="6"/>
        <v>-174</v>
      </c>
      <c r="E253">
        <f>-MAX(C$4:C253)+C253</f>
        <v>-496</v>
      </c>
    </row>
    <row r="254" spans="1:5" x14ac:dyDescent="0.3">
      <c r="A254" s="3" t="s">
        <v>13</v>
      </c>
      <c r="B254">
        <v>143417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D224-3149-49D7-A859-B2AE6AC21755}">
  <dimension ref="A2:N254"/>
  <sheetViews>
    <sheetView topLeftCell="A9" workbookViewId="0">
      <selection activeCell="K13" sqref="K13"/>
    </sheetView>
  </sheetViews>
  <sheetFormatPr defaultRowHeight="14.4" x14ac:dyDescent="0.3"/>
  <cols>
    <col min="1" max="1" width="12.5546875" bestFit="1" customWidth="1"/>
    <col min="2" max="2" width="21.109375" bestFit="1" customWidth="1"/>
    <col min="4" max="4" width="12.5546875" bestFit="1" customWidth="1"/>
    <col min="5" max="5" width="20.77734375" bestFit="1" customWidth="1"/>
    <col min="13" max="13" width="12.5546875" bestFit="1" customWidth="1"/>
    <col min="14" max="14" width="20.77734375" bestFit="1" customWidth="1"/>
  </cols>
  <sheetData>
    <row r="2" spans="1:14" x14ac:dyDescent="0.3">
      <c r="M2" s="2" t="s">
        <v>12</v>
      </c>
      <c r="N2" t="s">
        <v>14</v>
      </c>
    </row>
    <row r="3" spans="1:14" x14ac:dyDescent="0.3">
      <c r="A3" s="2" t="s">
        <v>12</v>
      </c>
      <c r="B3" t="s">
        <v>15</v>
      </c>
      <c r="L3">
        <v>10000000</v>
      </c>
      <c r="M3" s="3" t="s">
        <v>10</v>
      </c>
      <c r="N3" s="10">
        <v>738894</v>
      </c>
    </row>
    <row r="4" spans="1:14" x14ac:dyDescent="0.3">
      <c r="A4" s="3">
        <v>1</v>
      </c>
      <c r="B4" s="10">
        <v>18245</v>
      </c>
      <c r="M4" s="3" t="s">
        <v>11</v>
      </c>
      <c r="N4" s="10">
        <v>956288</v>
      </c>
    </row>
    <row r="5" spans="1:14" x14ac:dyDescent="0.3">
      <c r="A5" s="3">
        <v>2</v>
      </c>
      <c r="B5" s="10">
        <v>43199</v>
      </c>
      <c r="M5" s="3" t="s">
        <v>7</v>
      </c>
      <c r="N5" s="10">
        <v>522363</v>
      </c>
    </row>
    <row r="6" spans="1:14" x14ac:dyDescent="0.3">
      <c r="A6" s="3">
        <v>3</v>
      </c>
      <c r="B6" s="10">
        <v>77718</v>
      </c>
      <c r="M6" s="3" t="s">
        <v>8</v>
      </c>
      <c r="N6" s="10">
        <v>570480</v>
      </c>
    </row>
    <row r="7" spans="1:14" x14ac:dyDescent="0.3">
      <c r="A7" s="3">
        <v>4</v>
      </c>
      <c r="B7" s="10">
        <v>106154</v>
      </c>
      <c r="M7" s="3" t="s">
        <v>9</v>
      </c>
      <c r="N7" s="10">
        <v>1008730</v>
      </c>
    </row>
    <row r="8" spans="1:14" x14ac:dyDescent="0.3">
      <c r="A8" s="3">
        <v>5</v>
      </c>
      <c r="B8" s="10">
        <v>86698</v>
      </c>
      <c r="M8" s="3" t="s">
        <v>13</v>
      </c>
      <c r="N8" s="10">
        <v>3796755</v>
      </c>
    </row>
    <row r="9" spans="1:14" x14ac:dyDescent="0.3">
      <c r="A9" s="3">
        <v>6</v>
      </c>
      <c r="B9" s="10">
        <v>142913</v>
      </c>
    </row>
    <row r="10" spans="1:14" x14ac:dyDescent="0.3">
      <c r="A10" s="3">
        <v>7</v>
      </c>
      <c r="B10" s="10">
        <v>193223</v>
      </c>
    </row>
    <row r="11" spans="1:14" x14ac:dyDescent="0.3">
      <c r="A11" s="3">
        <v>8</v>
      </c>
      <c r="B11" s="10">
        <v>217629</v>
      </c>
    </row>
    <row r="12" spans="1:14" x14ac:dyDescent="0.3">
      <c r="A12" s="3">
        <v>9</v>
      </c>
      <c r="B12" s="10">
        <v>226367</v>
      </c>
    </row>
    <row r="13" spans="1:14" x14ac:dyDescent="0.3">
      <c r="A13" s="3">
        <v>10</v>
      </c>
      <c r="B13" s="10">
        <v>267726</v>
      </c>
    </row>
    <row r="14" spans="1:14" x14ac:dyDescent="0.3">
      <c r="A14" s="3">
        <v>11</v>
      </c>
      <c r="B14" s="10">
        <v>278578</v>
      </c>
    </row>
    <row r="15" spans="1:14" x14ac:dyDescent="0.3">
      <c r="A15" s="3">
        <v>12</v>
      </c>
      <c r="B15" s="10">
        <v>278806</v>
      </c>
    </row>
    <row r="16" spans="1:14" x14ac:dyDescent="0.3">
      <c r="A16" s="3">
        <v>13</v>
      </c>
      <c r="B16" s="10">
        <v>323229</v>
      </c>
    </row>
    <row r="17" spans="1:5" x14ac:dyDescent="0.3">
      <c r="A17" s="3">
        <v>14</v>
      </c>
      <c r="B17" s="10">
        <v>307259</v>
      </c>
    </row>
    <row r="18" spans="1:5" x14ac:dyDescent="0.3">
      <c r="A18" s="3">
        <v>15</v>
      </c>
      <c r="B18" s="10">
        <v>342026</v>
      </c>
    </row>
    <row r="19" spans="1:5" x14ac:dyDescent="0.3">
      <c r="A19" s="3">
        <v>16</v>
      </c>
      <c r="B19" s="10">
        <v>323128</v>
      </c>
    </row>
    <row r="20" spans="1:5" x14ac:dyDescent="0.3">
      <c r="A20" s="3">
        <v>17</v>
      </c>
      <c r="B20" s="10">
        <v>298401</v>
      </c>
      <c r="D20" s="2" t="s">
        <v>12</v>
      </c>
      <c r="E20" t="s">
        <v>14</v>
      </c>
    </row>
    <row r="21" spans="1:5" x14ac:dyDescent="0.3">
      <c r="A21" s="3">
        <v>18</v>
      </c>
      <c r="B21" s="10">
        <v>306968</v>
      </c>
      <c r="D21" s="3" t="s">
        <v>17</v>
      </c>
      <c r="E21" s="10">
        <v>370069</v>
      </c>
    </row>
    <row r="22" spans="1:5" x14ac:dyDescent="0.3">
      <c r="A22" s="3">
        <v>19</v>
      </c>
      <c r="B22" s="10">
        <v>318445</v>
      </c>
      <c r="D22" s="3" t="s">
        <v>18</v>
      </c>
      <c r="E22" s="10">
        <v>199660</v>
      </c>
    </row>
    <row r="23" spans="1:5" x14ac:dyDescent="0.3">
      <c r="A23" s="3">
        <v>20</v>
      </c>
      <c r="B23" s="10">
        <v>377341</v>
      </c>
      <c r="D23" s="3" t="s">
        <v>19</v>
      </c>
      <c r="E23" s="10">
        <v>285369</v>
      </c>
    </row>
    <row r="24" spans="1:5" x14ac:dyDescent="0.3">
      <c r="A24" s="3">
        <v>21</v>
      </c>
      <c r="B24" s="10">
        <v>380420</v>
      </c>
      <c r="D24" s="3" t="s">
        <v>32</v>
      </c>
      <c r="E24" s="10">
        <v>410548</v>
      </c>
    </row>
    <row r="25" spans="1:5" x14ac:dyDescent="0.3">
      <c r="A25" s="3">
        <v>22</v>
      </c>
      <c r="B25" s="10">
        <v>377440</v>
      </c>
      <c r="D25" s="3" t="s">
        <v>33</v>
      </c>
      <c r="E25" s="10">
        <v>417114</v>
      </c>
    </row>
    <row r="26" spans="1:5" x14ac:dyDescent="0.3">
      <c r="A26" s="3">
        <v>23</v>
      </c>
      <c r="B26" s="10">
        <v>370069</v>
      </c>
      <c r="D26" s="3" t="s">
        <v>34</v>
      </c>
      <c r="E26" s="10">
        <v>309831</v>
      </c>
    </row>
    <row r="27" spans="1:5" x14ac:dyDescent="0.3">
      <c r="A27" s="3">
        <v>24</v>
      </c>
      <c r="B27" s="10">
        <v>359100</v>
      </c>
      <c r="D27" s="3" t="s">
        <v>35</v>
      </c>
      <c r="E27" s="10">
        <v>553364</v>
      </c>
    </row>
    <row r="28" spans="1:5" x14ac:dyDescent="0.3">
      <c r="A28" s="3">
        <v>25</v>
      </c>
      <c r="B28" s="10">
        <v>363172</v>
      </c>
      <c r="D28" s="3" t="s">
        <v>36</v>
      </c>
      <c r="E28" s="10">
        <v>330169</v>
      </c>
    </row>
    <row r="29" spans="1:5" x14ac:dyDescent="0.3">
      <c r="A29" s="3">
        <v>26</v>
      </c>
      <c r="B29" s="10">
        <v>398366</v>
      </c>
      <c r="D29" s="3" t="s">
        <v>37</v>
      </c>
      <c r="E29" s="10">
        <v>272448</v>
      </c>
    </row>
    <row r="30" spans="1:5" x14ac:dyDescent="0.3">
      <c r="A30" s="3">
        <v>27</v>
      </c>
      <c r="B30" s="10">
        <v>397902</v>
      </c>
      <c r="D30" s="3" t="s">
        <v>38</v>
      </c>
      <c r="E30" s="10">
        <v>217353</v>
      </c>
    </row>
    <row r="31" spans="1:5" x14ac:dyDescent="0.3">
      <c r="A31" s="3">
        <v>28</v>
      </c>
      <c r="B31" s="10">
        <v>419062</v>
      </c>
      <c r="D31" s="3" t="s">
        <v>39</v>
      </c>
      <c r="E31" s="10">
        <v>265480</v>
      </c>
    </row>
    <row r="32" spans="1:5" x14ac:dyDescent="0.3">
      <c r="A32" s="3">
        <v>29</v>
      </c>
      <c r="B32" s="10">
        <v>439951</v>
      </c>
      <c r="D32" s="3" t="s">
        <v>40</v>
      </c>
      <c r="E32" s="10">
        <v>165350</v>
      </c>
    </row>
    <row r="33" spans="1:5" x14ac:dyDescent="0.3">
      <c r="A33" s="3">
        <v>30</v>
      </c>
      <c r="B33" s="10">
        <v>412705</v>
      </c>
      <c r="D33" s="3" t="s">
        <v>13</v>
      </c>
      <c r="E33" s="10">
        <v>3796755</v>
      </c>
    </row>
    <row r="34" spans="1:5" x14ac:dyDescent="0.3">
      <c r="A34" s="3">
        <v>31</v>
      </c>
      <c r="B34" s="10">
        <v>407061</v>
      </c>
    </row>
    <row r="35" spans="1:5" x14ac:dyDescent="0.3">
      <c r="A35" s="3">
        <v>32</v>
      </c>
      <c r="B35" s="10">
        <v>448848</v>
      </c>
      <c r="E35" s="6">
        <f>GETPIVOTDATA("Total Gross P&amp;L",$D$20)</f>
        <v>3796755</v>
      </c>
    </row>
    <row r="36" spans="1:5" x14ac:dyDescent="0.3">
      <c r="A36" s="3">
        <v>33</v>
      </c>
      <c r="B36" s="10">
        <v>474411</v>
      </c>
      <c r="D36" s="3" t="s">
        <v>20</v>
      </c>
      <c r="E36" s="5">
        <f>E35/L3</f>
        <v>0.3796755</v>
      </c>
    </row>
    <row r="37" spans="1:5" x14ac:dyDescent="0.3">
      <c r="A37" s="3">
        <v>34</v>
      </c>
      <c r="B37" s="10">
        <v>506572</v>
      </c>
      <c r="D37" s="3" t="s">
        <v>21</v>
      </c>
      <c r="E37" s="7">
        <v>0.45</v>
      </c>
    </row>
    <row r="38" spans="1:5" x14ac:dyDescent="0.3">
      <c r="A38" s="3">
        <v>35</v>
      </c>
      <c r="B38" s="10">
        <v>562600</v>
      </c>
    </row>
    <row r="39" spans="1:5" x14ac:dyDescent="0.3">
      <c r="A39" s="3">
        <v>36</v>
      </c>
      <c r="B39" s="10">
        <v>588412</v>
      </c>
    </row>
    <row r="40" spans="1:5" x14ac:dyDescent="0.3">
      <c r="A40" s="3">
        <v>37</v>
      </c>
      <c r="B40" s="10">
        <v>570201</v>
      </c>
    </row>
    <row r="41" spans="1:5" x14ac:dyDescent="0.3">
      <c r="A41" s="3">
        <v>38</v>
      </c>
      <c r="B41" s="10">
        <v>567946</v>
      </c>
    </row>
    <row r="42" spans="1:5" x14ac:dyDescent="0.3">
      <c r="A42" s="3">
        <v>39</v>
      </c>
      <c r="B42" s="10">
        <v>550020</v>
      </c>
    </row>
    <row r="43" spans="1:5" x14ac:dyDescent="0.3">
      <c r="A43" s="3">
        <v>40</v>
      </c>
      <c r="B43" s="10">
        <v>553254</v>
      </c>
    </row>
    <row r="44" spans="1:5" x14ac:dyDescent="0.3">
      <c r="A44" s="3">
        <v>41</v>
      </c>
      <c r="B44" s="10">
        <v>557119</v>
      </c>
    </row>
    <row r="45" spans="1:5" x14ac:dyDescent="0.3">
      <c r="A45" s="3">
        <v>42</v>
      </c>
      <c r="B45" s="10">
        <v>562141</v>
      </c>
    </row>
    <row r="46" spans="1:5" x14ac:dyDescent="0.3">
      <c r="A46" s="3">
        <v>43</v>
      </c>
      <c r="B46" s="10">
        <v>569729</v>
      </c>
    </row>
    <row r="47" spans="1:5" x14ac:dyDescent="0.3">
      <c r="A47" s="3">
        <v>44</v>
      </c>
      <c r="B47" s="10">
        <v>583749</v>
      </c>
    </row>
    <row r="48" spans="1:5" x14ac:dyDescent="0.3">
      <c r="A48" s="3">
        <v>45</v>
      </c>
      <c r="B48" s="10">
        <v>638559</v>
      </c>
    </row>
    <row r="49" spans="1:2" x14ac:dyDescent="0.3">
      <c r="A49" s="3">
        <v>46</v>
      </c>
      <c r="B49" s="10">
        <v>650773</v>
      </c>
    </row>
    <row r="50" spans="1:2" x14ac:dyDescent="0.3">
      <c r="A50" s="3">
        <v>47</v>
      </c>
      <c r="B50" s="10">
        <v>639501</v>
      </c>
    </row>
    <row r="51" spans="1:2" x14ac:dyDescent="0.3">
      <c r="A51" s="3">
        <v>48</v>
      </c>
      <c r="B51" s="10">
        <v>686492</v>
      </c>
    </row>
    <row r="52" spans="1:2" x14ac:dyDescent="0.3">
      <c r="A52" s="3">
        <v>49</v>
      </c>
      <c r="B52" s="10">
        <v>708275</v>
      </c>
    </row>
    <row r="53" spans="1:2" x14ac:dyDescent="0.3">
      <c r="A53" s="3">
        <v>50</v>
      </c>
      <c r="B53" s="10">
        <v>730125</v>
      </c>
    </row>
    <row r="54" spans="1:2" x14ac:dyDescent="0.3">
      <c r="A54" s="3">
        <v>51</v>
      </c>
      <c r="B54" s="10">
        <v>755290</v>
      </c>
    </row>
    <row r="55" spans="1:2" x14ac:dyDescent="0.3">
      <c r="A55" s="3">
        <v>52</v>
      </c>
      <c r="B55" s="10">
        <v>731046</v>
      </c>
    </row>
    <row r="56" spans="1:2" x14ac:dyDescent="0.3">
      <c r="A56" s="3">
        <v>53</v>
      </c>
      <c r="B56" s="10">
        <v>770110</v>
      </c>
    </row>
    <row r="57" spans="1:2" x14ac:dyDescent="0.3">
      <c r="A57" s="3">
        <v>54</v>
      </c>
      <c r="B57" s="10">
        <v>794909</v>
      </c>
    </row>
    <row r="58" spans="1:2" x14ac:dyDescent="0.3">
      <c r="A58" s="3">
        <v>55</v>
      </c>
      <c r="B58" s="10">
        <v>804377</v>
      </c>
    </row>
    <row r="59" spans="1:2" x14ac:dyDescent="0.3">
      <c r="A59" s="3">
        <v>56</v>
      </c>
      <c r="B59" s="10">
        <v>781101</v>
      </c>
    </row>
    <row r="60" spans="1:2" x14ac:dyDescent="0.3">
      <c r="A60" s="3">
        <v>57</v>
      </c>
      <c r="B60" s="10">
        <v>790766</v>
      </c>
    </row>
    <row r="61" spans="1:2" x14ac:dyDescent="0.3">
      <c r="A61" s="3">
        <v>58</v>
      </c>
      <c r="B61" s="10">
        <v>849448</v>
      </c>
    </row>
    <row r="62" spans="1:2" x14ac:dyDescent="0.3">
      <c r="A62" s="3">
        <v>59</v>
      </c>
      <c r="B62" s="10">
        <v>873348</v>
      </c>
    </row>
    <row r="63" spans="1:2" x14ac:dyDescent="0.3">
      <c r="A63" s="3">
        <v>60</v>
      </c>
      <c r="B63" s="10">
        <v>869037</v>
      </c>
    </row>
    <row r="64" spans="1:2" x14ac:dyDescent="0.3">
      <c r="A64" s="3">
        <v>61</v>
      </c>
      <c r="B64" s="10">
        <v>868443</v>
      </c>
    </row>
    <row r="65" spans="1:2" x14ac:dyDescent="0.3">
      <c r="A65" s="3">
        <v>62</v>
      </c>
      <c r="B65" s="10">
        <v>892903</v>
      </c>
    </row>
    <row r="66" spans="1:2" x14ac:dyDescent="0.3">
      <c r="A66" s="3">
        <v>63</v>
      </c>
      <c r="B66" s="10">
        <v>880548</v>
      </c>
    </row>
    <row r="67" spans="1:2" x14ac:dyDescent="0.3">
      <c r="A67" s="3">
        <v>64</v>
      </c>
      <c r="B67" s="10">
        <v>855098</v>
      </c>
    </row>
    <row r="68" spans="1:2" x14ac:dyDescent="0.3">
      <c r="A68" s="3">
        <v>65</v>
      </c>
      <c r="B68" s="10">
        <v>860039</v>
      </c>
    </row>
    <row r="69" spans="1:2" x14ac:dyDescent="0.3">
      <c r="A69" s="3">
        <v>66</v>
      </c>
      <c r="B69" s="10">
        <v>905752</v>
      </c>
    </row>
    <row r="70" spans="1:2" x14ac:dyDescent="0.3">
      <c r="A70" s="3">
        <v>67</v>
      </c>
      <c r="B70" s="10">
        <v>941618</v>
      </c>
    </row>
    <row r="71" spans="1:2" x14ac:dyDescent="0.3">
      <c r="A71" s="3">
        <v>68</v>
      </c>
      <c r="B71" s="10">
        <v>925505</v>
      </c>
    </row>
    <row r="72" spans="1:2" x14ac:dyDescent="0.3">
      <c r="A72" s="3">
        <v>69</v>
      </c>
      <c r="B72" s="10">
        <v>973807</v>
      </c>
    </row>
    <row r="73" spans="1:2" x14ac:dyDescent="0.3">
      <c r="A73" s="3">
        <v>70</v>
      </c>
      <c r="B73" s="10">
        <v>1013053</v>
      </c>
    </row>
    <row r="74" spans="1:2" x14ac:dyDescent="0.3">
      <c r="A74" s="3">
        <v>71</v>
      </c>
      <c r="B74" s="10">
        <v>1031382</v>
      </c>
    </row>
    <row r="75" spans="1:2" x14ac:dyDescent="0.3">
      <c r="A75" s="3">
        <v>72</v>
      </c>
      <c r="B75" s="10">
        <v>1062414</v>
      </c>
    </row>
    <row r="76" spans="1:2" x14ac:dyDescent="0.3">
      <c r="A76" s="3">
        <v>73</v>
      </c>
      <c r="B76" s="10">
        <v>1073578</v>
      </c>
    </row>
    <row r="77" spans="1:2" x14ac:dyDescent="0.3">
      <c r="A77" s="3">
        <v>74</v>
      </c>
      <c r="B77" s="10">
        <v>1046612</v>
      </c>
    </row>
    <row r="78" spans="1:2" x14ac:dyDescent="0.3">
      <c r="A78" s="3">
        <v>75</v>
      </c>
      <c r="B78" s="10">
        <v>1053868</v>
      </c>
    </row>
    <row r="79" spans="1:2" x14ac:dyDescent="0.3">
      <c r="A79" s="3">
        <v>76</v>
      </c>
      <c r="B79" s="10">
        <v>1087421</v>
      </c>
    </row>
    <row r="80" spans="1:2" x14ac:dyDescent="0.3">
      <c r="A80" s="3">
        <v>77</v>
      </c>
      <c r="B80" s="10">
        <v>1113135</v>
      </c>
    </row>
    <row r="81" spans="1:2" x14ac:dyDescent="0.3">
      <c r="A81" s="3">
        <v>78</v>
      </c>
      <c r="B81" s="10">
        <v>1123587</v>
      </c>
    </row>
    <row r="82" spans="1:2" x14ac:dyDescent="0.3">
      <c r="A82" s="3">
        <v>79</v>
      </c>
      <c r="B82" s="10">
        <v>1130949</v>
      </c>
    </row>
    <row r="83" spans="1:2" x14ac:dyDescent="0.3">
      <c r="A83" s="3">
        <v>80</v>
      </c>
      <c r="B83" s="10">
        <v>1140021</v>
      </c>
    </row>
    <row r="84" spans="1:2" x14ac:dyDescent="0.3">
      <c r="A84" s="3">
        <v>81</v>
      </c>
      <c r="B84" s="10">
        <v>1174024</v>
      </c>
    </row>
    <row r="85" spans="1:2" x14ac:dyDescent="0.3">
      <c r="A85" s="3">
        <v>82</v>
      </c>
      <c r="B85" s="10">
        <v>1194841</v>
      </c>
    </row>
    <row r="86" spans="1:2" x14ac:dyDescent="0.3">
      <c r="A86" s="3">
        <v>83</v>
      </c>
      <c r="B86" s="10">
        <v>1243473</v>
      </c>
    </row>
    <row r="87" spans="1:2" x14ac:dyDescent="0.3">
      <c r="A87" s="3">
        <v>84</v>
      </c>
      <c r="B87" s="10">
        <v>1243915</v>
      </c>
    </row>
    <row r="88" spans="1:2" x14ac:dyDescent="0.3">
      <c r="A88" s="3">
        <v>85</v>
      </c>
      <c r="B88" s="10">
        <v>1238411</v>
      </c>
    </row>
    <row r="89" spans="1:2" x14ac:dyDescent="0.3">
      <c r="A89" s="3">
        <v>86</v>
      </c>
      <c r="B89" s="10">
        <v>1265646</v>
      </c>
    </row>
    <row r="90" spans="1:2" x14ac:dyDescent="0.3">
      <c r="A90" s="3">
        <v>87</v>
      </c>
      <c r="B90" s="10">
        <v>1303092</v>
      </c>
    </row>
    <row r="91" spans="1:2" x14ac:dyDescent="0.3">
      <c r="A91" s="3">
        <v>88</v>
      </c>
      <c r="B91" s="10">
        <v>1357387</v>
      </c>
    </row>
    <row r="92" spans="1:2" x14ac:dyDescent="0.3">
      <c r="A92" s="3">
        <v>89</v>
      </c>
      <c r="B92" s="10">
        <v>1335086</v>
      </c>
    </row>
    <row r="93" spans="1:2" x14ac:dyDescent="0.3">
      <c r="A93" s="3">
        <v>90</v>
      </c>
      <c r="B93" s="10">
        <v>1312585</v>
      </c>
    </row>
    <row r="94" spans="1:2" x14ac:dyDescent="0.3">
      <c r="A94" s="3">
        <v>91</v>
      </c>
      <c r="B94" s="10">
        <v>1331790</v>
      </c>
    </row>
    <row r="95" spans="1:2" x14ac:dyDescent="0.3">
      <c r="A95" s="3">
        <v>92</v>
      </c>
      <c r="B95" s="10">
        <v>1373345</v>
      </c>
    </row>
    <row r="96" spans="1:2" x14ac:dyDescent="0.3">
      <c r="A96" s="3">
        <v>93</v>
      </c>
      <c r="B96" s="10">
        <v>1394368</v>
      </c>
    </row>
    <row r="97" spans="1:2" x14ac:dyDescent="0.3">
      <c r="A97" s="3">
        <v>94</v>
      </c>
      <c r="B97" s="10">
        <v>1410628</v>
      </c>
    </row>
    <row r="98" spans="1:2" x14ac:dyDescent="0.3">
      <c r="A98" s="3">
        <v>95</v>
      </c>
      <c r="B98" s="10">
        <v>1388434</v>
      </c>
    </row>
    <row r="99" spans="1:2" x14ac:dyDescent="0.3">
      <c r="A99" s="3">
        <v>96</v>
      </c>
      <c r="B99" s="10">
        <v>1402155</v>
      </c>
    </row>
    <row r="100" spans="1:2" x14ac:dyDescent="0.3">
      <c r="A100" s="3">
        <v>97</v>
      </c>
      <c r="B100" s="10">
        <v>1387618</v>
      </c>
    </row>
    <row r="101" spans="1:2" x14ac:dyDescent="0.3">
      <c r="A101" s="3">
        <v>98</v>
      </c>
      <c r="B101" s="10">
        <v>1432134</v>
      </c>
    </row>
    <row r="102" spans="1:2" x14ac:dyDescent="0.3">
      <c r="A102" s="3">
        <v>99</v>
      </c>
      <c r="B102" s="10">
        <v>1466591</v>
      </c>
    </row>
    <row r="103" spans="1:2" x14ac:dyDescent="0.3">
      <c r="A103" s="3">
        <v>100</v>
      </c>
      <c r="B103" s="10">
        <v>1474383</v>
      </c>
    </row>
    <row r="104" spans="1:2" x14ac:dyDescent="0.3">
      <c r="A104" s="3">
        <v>101</v>
      </c>
      <c r="B104" s="10">
        <v>1469339</v>
      </c>
    </row>
    <row r="105" spans="1:2" x14ac:dyDescent="0.3">
      <c r="A105" s="3">
        <v>102</v>
      </c>
      <c r="B105" s="10">
        <v>1472988</v>
      </c>
    </row>
    <row r="106" spans="1:2" x14ac:dyDescent="0.3">
      <c r="A106" s="3">
        <v>103</v>
      </c>
      <c r="B106" s="10">
        <v>1524685</v>
      </c>
    </row>
    <row r="107" spans="1:2" x14ac:dyDescent="0.3">
      <c r="A107" s="3">
        <v>104</v>
      </c>
      <c r="B107" s="10">
        <v>1571566</v>
      </c>
    </row>
    <row r="108" spans="1:2" x14ac:dyDescent="0.3">
      <c r="A108" s="3">
        <v>105</v>
      </c>
      <c r="B108" s="10">
        <v>1613758</v>
      </c>
    </row>
    <row r="109" spans="1:2" x14ac:dyDescent="0.3">
      <c r="A109" s="3">
        <v>106</v>
      </c>
      <c r="B109" s="10">
        <v>1641677</v>
      </c>
    </row>
    <row r="110" spans="1:2" x14ac:dyDescent="0.3">
      <c r="A110" s="3">
        <v>107</v>
      </c>
      <c r="B110" s="10">
        <v>1661420</v>
      </c>
    </row>
    <row r="111" spans="1:2" x14ac:dyDescent="0.3">
      <c r="A111" s="3">
        <v>108</v>
      </c>
      <c r="B111" s="10">
        <v>1682760</v>
      </c>
    </row>
    <row r="112" spans="1:2" x14ac:dyDescent="0.3">
      <c r="A112" s="3">
        <v>109</v>
      </c>
      <c r="B112" s="10">
        <v>1729487</v>
      </c>
    </row>
    <row r="113" spans="1:2" x14ac:dyDescent="0.3">
      <c r="A113" s="3">
        <v>110</v>
      </c>
      <c r="B113" s="10">
        <v>1775835</v>
      </c>
    </row>
    <row r="114" spans="1:2" x14ac:dyDescent="0.3">
      <c r="A114" s="3">
        <v>111</v>
      </c>
      <c r="B114" s="10">
        <v>1770287</v>
      </c>
    </row>
    <row r="115" spans="1:2" x14ac:dyDescent="0.3">
      <c r="A115" s="3">
        <v>112</v>
      </c>
      <c r="B115" s="10">
        <v>1777595</v>
      </c>
    </row>
    <row r="116" spans="1:2" x14ac:dyDescent="0.3">
      <c r="A116" s="3">
        <v>113</v>
      </c>
      <c r="B116" s="10">
        <v>1781663</v>
      </c>
    </row>
    <row r="117" spans="1:2" x14ac:dyDescent="0.3">
      <c r="A117" s="3">
        <v>114</v>
      </c>
      <c r="B117" s="10">
        <v>1838310</v>
      </c>
    </row>
    <row r="118" spans="1:2" x14ac:dyDescent="0.3">
      <c r="A118" s="3">
        <v>115</v>
      </c>
      <c r="B118" s="10">
        <v>1861737</v>
      </c>
    </row>
    <row r="119" spans="1:2" x14ac:dyDescent="0.3">
      <c r="A119" s="3">
        <v>116</v>
      </c>
      <c r="B119" s="10">
        <v>1841232</v>
      </c>
    </row>
    <row r="120" spans="1:2" x14ac:dyDescent="0.3">
      <c r="A120" s="3">
        <v>117</v>
      </c>
      <c r="B120" s="10">
        <v>1854809</v>
      </c>
    </row>
    <row r="121" spans="1:2" x14ac:dyDescent="0.3">
      <c r="A121" s="3">
        <v>118</v>
      </c>
      <c r="B121" s="10">
        <v>1883099</v>
      </c>
    </row>
    <row r="122" spans="1:2" x14ac:dyDescent="0.3">
      <c r="A122" s="3">
        <v>119</v>
      </c>
      <c r="B122" s="10">
        <v>1863394</v>
      </c>
    </row>
    <row r="123" spans="1:2" x14ac:dyDescent="0.3">
      <c r="A123" s="3">
        <v>120</v>
      </c>
      <c r="B123" s="10">
        <v>1883352</v>
      </c>
    </row>
    <row r="124" spans="1:2" x14ac:dyDescent="0.3">
      <c r="A124" s="3">
        <v>121</v>
      </c>
      <c r="B124" s="10">
        <v>1914531</v>
      </c>
    </row>
    <row r="125" spans="1:2" x14ac:dyDescent="0.3">
      <c r="A125" s="3">
        <v>122</v>
      </c>
      <c r="B125" s="10">
        <v>1924884</v>
      </c>
    </row>
    <row r="126" spans="1:2" x14ac:dyDescent="0.3">
      <c r="A126" s="3">
        <v>123</v>
      </c>
      <c r="B126" s="10">
        <v>1967760</v>
      </c>
    </row>
    <row r="127" spans="1:2" x14ac:dyDescent="0.3">
      <c r="A127" s="3">
        <v>124</v>
      </c>
      <c r="B127" s="10">
        <v>1977033</v>
      </c>
    </row>
    <row r="128" spans="1:2" x14ac:dyDescent="0.3">
      <c r="A128" s="3">
        <v>125</v>
      </c>
      <c r="B128" s="10">
        <v>2008632</v>
      </c>
    </row>
    <row r="129" spans="1:2" x14ac:dyDescent="0.3">
      <c r="A129" s="3">
        <v>126</v>
      </c>
      <c r="B129" s="10">
        <v>1997402</v>
      </c>
    </row>
    <row r="130" spans="1:2" x14ac:dyDescent="0.3">
      <c r="A130" s="3">
        <v>127</v>
      </c>
      <c r="B130" s="10">
        <v>2006026</v>
      </c>
    </row>
    <row r="131" spans="1:2" x14ac:dyDescent="0.3">
      <c r="A131" s="3">
        <v>128</v>
      </c>
      <c r="B131" s="10">
        <v>1994495</v>
      </c>
    </row>
    <row r="132" spans="1:2" x14ac:dyDescent="0.3">
      <c r="A132" s="3">
        <v>129</v>
      </c>
      <c r="B132" s="10">
        <v>1992591</v>
      </c>
    </row>
    <row r="133" spans="1:2" x14ac:dyDescent="0.3">
      <c r="A133" s="3">
        <v>130</v>
      </c>
      <c r="B133" s="10">
        <v>1989155</v>
      </c>
    </row>
    <row r="134" spans="1:2" x14ac:dyDescent="0.3">
      <c r="A134" s="3">
        <v>131</v>
      </c>
      <c r="B134" s="10">
        <v>2030890</v>
      </c>
    </row>
    <row r="135" spans="1:2" x14ac:dyDescent="0.3">
      <c r="A135" s="3">
        <v>132</v>
      </c>
      <c r="B135" s="10">
        <v>2075444</v>
      </c>
    </row>
    <row r="136" spans="1:2" x14ac:dyDescent="0.3">
      <c r="A136" s="3">
        <v>133</v>
      </c>
      <c r="B136" s="10">
        <v>2136684</v>
      </c>
    </row>
    <row r="137" spans="1:2" x14ac:dyDescent="0.3">
      <c r="A137" s="3">
        <v>134</v>
      </c>
      <c r="B137" s="10">
        <v>2182516</v>
      </c>
    </row>
    <row r="138" spans="1:2" x14ac:dyDescent="0.3">
      <c r="A138" s="3">
        <v>135</v>
      </c>
      <c r="B138" s="10">
        <v>2198062</v>
      </c>
    </row>
    <row r="139" spans="1:2" x14ac:dyDescent="0.3">
      <c r="A139" s="3">
        <v>136</v>
      </c>
      <c r="B139" s="10">
        <v>2176614</v>
      </c>
    </row>
    <row r="140" spans="1:2" x14ac:dyDescent="0.3">
      <c r="A140" s="3">
        <v>137</v>
      </c>
      <c r="B140" s="10">
        <v>2160867</v>
      </c>
    </row>
    <row r="141" spans="1:2" x14ac:dyDescent="0.3">
      <c r="A141" s="3">
        <v>138</v>
      </c>
      <c r="B141" s="10">
        <v>2161869</v>
      </c>
    </row>
    <row r="142" spans="1:2" x14ac:dyDescent="0.3">
      <c r="A142" s="3">
        <v>139</v>
      </c>
      <c r="B142" s="10">
        <v>2219802</v>
      </c>
    </row>
    <row r="143" spans="1:2" x14ac:dyDescent="0.3">
      <c r="A143" s="3">
        <v>140</v>
      </c>
      <c r="B143" s="10">
        <v>2283838</v>
      </c>
    </row>
    <row r="144" spans="1:2" x14ac:dyDescent="0.3">
      <c r="A144" s="3">
        <v>141</v>
      </c>
      <c r="B144" s="10">
        <v>2279024</v>
      </c>
    </row>
    <row r="145" spans="1:2" x14ac:dyDescent="0.3">
      <c r="A145" s="3">
        <v>142</v>
      </c>
      <c r="B145" s="10">
        <v>2277927</v>
      </c>
    </row>
    <row r="146" spans="1:2" x14ac:dyDescent="0.3">
      <c r="A146" s="3">
        <v>143</v>
      </c>
      <c r="B146" s="10">
        <v>2279196</v>
      </c>
    </row>
    <row r="147" spans="1:2" x14ac:dyDescent="0.3">
      <c r="A147" s="3">
        <v>144</v>
      </c>
      <c r="B147" s="10">
        <v>2292505</v>
      </c>
    </row>
    <row r="148" spans="1:2" x14ac:dyDescent="0.3">
      <c r="A148" s="3">
        <v>145</v>
      </c>
      <c r="B148" s="10">
        <v>2323322</v>
      </c>
    </row>
    <row r="149" spans="1:2" x14ac:dyDescent="0.3">
      <c r="A149" s="3">
        <v>146</v>
      </c>
      <c r="B149" s="10">
        <v>2353533</v>
      </c>
    </row>
    <row r="150" spans="1:2" x14ac:dyDescent="0.3">
      <c r="A150" s="3">
        <v>147</v>
      </c>
      <c r="B150" s="10">
        <v>2400475</v>
      </c>
    </row>
    <row r="151" spans="1:2" x14ac:dyDescent="0.3">
      <c r="A151" s="3">
        <v>148</v>
      </c>
      <c r="B151" s="10">
        <v>2449694</v>
      </c>
    </row>
    <row r="152" spans="1:2" x14ac:dyDescent="0.3">
      <c r="A152" s="3">
        <v>149</v>
      </c>
      <c r="B152" s="10">
        <v>2474612</v>
      </c>
    </row>
    <row r="153" spans="1:2" x14ac:dyDescent="0.3">
      <c r="A153" s="3">
        <v>150</v>
      </c>
      <c r="B153" s="10">
        <v>2524646</v>
      </c>
    </row>
    <row r="154" spans="1:2" x14ac:dyDescent="0.3">
      <c r="A154" s="3">
        <v>151</v>
      </c>
      <c r="B154" s="10">
        <v>2511344</v>
      </c>
    </row>
    <row r="155" spans="1:2" x14ac:dyDescent="0.3">
      <c r="A155" s="3">
        <v>152</v>
      </c>
      <c r="B155" s="10">
        <v>2545955</v>
      </c>
    </row>
    <row r="156" spans="1:2" x14ac:dyDescent="0.3">
      <c r="A156" s="3">
        <v>153</v>
      </c>
      <c r="B156" s="10">
        <v>2540042</v>
      </c>
    </row>
    <row r="157" spans="1:2" x14ac:dyDescent="0.3">
      <c r="A157" s="3">
        <v>154</v>
      </c>
      <c r="B157" s="10">
        <v>2555932</v>
      </c>
    </row>
    <row r="158" spans="1:2" x14ac:dyDescent="0.3">
      <c r="A158" s="3">
        <v>155</v>
      </c>
      <c r="B158" s="10">
        <v>2568490</v>
      </c>
    </row>
    <row r="159" spans="1:2" x14ac:dyDescent="0.3">
      <c r="A159" s="3">
        <v>156</v>
      </c>
      <c r="B159" s="10">
        <v>2600908</v>
      </c>
    </row>
    <row r="160" spans="1:2" x14ac:dyDescent="0.3">
      <c r="A160" s="3">
        <v>157</v>
      </c>
      <c r="B160" s="10">
        <v>2632859</v>
      </c>
    </row>
    <row r="161" spans="1:2" x14ac:dyDescent="0.3">
      <c r="A161" s="3">
        <v>158</v>
      </c>
      <c r="B161" s="10">
        <v>2675655</v>
      </c>
    </row>
    <row r="162" spans="1:2" x14ac:dyDescent="0.3">
      <c r="A162" s="3">
        <v>159</v>
      </c>
      <c r="B162" s="10">
        <v>2694221</v>
      </c>
    </row>
    <row r="163" spans="1:2" x14ac:dyDescent="0.3">
      <c r="A163" s="3">
        <v>160</v>
      </c>
      <c r="B163" s="10">
        <v>2725165</v>
      </c>
    </row>
    <row r="164" spans="1:2" x14ac:dyDescent="0.3">
      <c r="A164" s="3">
        <v>161</v>
      </c>
      <c r="B164" s="10">
        <v>2719172</v>
      </c>
    </row>
    <row r="165" spans="1:2" x14ac:dyDescent="0.3">
      <c r="A165" s="3">
        <v>162</v>
      </c>
      <c r="B165" s="10">
        <v>2746473</v>
      </c>
    </row>
    <row r="166" spans="1:2" x14ac:dyDescent="0.3">
      <c r="A166" s="3">
        <v>163</v>
      </c>
      <c r="B166" s="10">
        <v>2776841</v>
      </c>
    </row>
    <row r="167" spans="1:2" x14ac:dyDescent="0.3">
      <c r="A167" s="3">
        <v>164</v>
      </c>
      <c r="B167" s="10">
        <v>2791356</v>
      </c>
    </row>
    <row r="168" spans="1:2" x14ac:dyDescent="0.3">
      <c r="A168" s="3">
        <v>165</v>
      </c>
      <c r="B168" s="10">
        <v>2822732</v>
      </c>
    </row>
    <row r="169" spans="1:2" x14ac:dyDescent="0.3">
      <c r="A169" s="3">
        <v>166</v>
      </c>
      <c r="B169" s="10">
        <v>2805148</v>
      </c>
    </row>
    <row r="170" spans="1:2" x14ac:dyDescent="0.3">
      <c r="A170" s="3">
        <v>167</v>
      </c>
      <c r="B170" s="10">
        <v>2819852</v>
      </c>
    </row>
    <row r="171" spans="1:2" x14ac:dyDescent="0.3">
      <c r="A171" s="3">
        <v>168</v>
      </c>
      <c r="B171" s="10">
        <v>2876694</v>
      </c>
    </row>
    <row r="172" spans="1:2" x14ac:dyDescent="0.3">
      <c r="A172" s="3">
        <v>169</v>
      </c>
      <c r="B172" s="10">
        <v>2893707</v>
      </c>
    </row>
    <row r="173" spans="1:2" x14ac:dyDescent="0.3">
      <c r="A173" s="3">
        <v>170</v>
      </c>
      <c r="B173" s="10">
        <v>2878471</v>
      </c>
    </row>
    <row r="174" spans="1:2" x14ac:dyDescent="0.3">
      <c r="A174" s="3">
        <v>171</v>
      </c>
      <c r="B174" s="10">
        <v>2911538</v>
      </c>
    </row>
    <row r="175" spans="1:2" x14ac:dyDescent="0.3">
      <c r="A175" s="3">
        <v>172</v>
      </c>
      <c r="B175" s="10">
        <v>2898792</v>
      </c>
    </row>
    <row r="176" spans="1:2" x14ac:dyDescent="0.3">
      <c r="A176" s="3">
        <v>173</v>
      </c>
      <c r="B176" s="10">
        <v>2876124</v>
      </c>
    </row>
    <row r="177" spans="1:2" x14ac:dyDescent="0.3">
      <c r="A177" s="3">
        <v>174</v>
      </c>
      <c r="B177" s="10">
        <v>2900051</v>
      </c>
    </row>
    <row r="178" spans="1:2" x14ac:dyDescent="0.3">
      <c r="A178" s="3">
        <v>175</v>
      </c>
      <c r="B178" s="10">
        <v>2936947</v>
      </c>
    </row>
    <row r="179" spans="1:2" x14ac:dyDescent="0.3">
      <c r="A179" s="3">
        <v>176</v>
      </c>
      <c r="B179" s="10">
        <v>2965934</v>
      </c>
    </row>
    <row r="180" spans="1:2" x14ac:dyDescent="0.3">
      <c r="A180" s="3">
        <v>177</v>
      </c>
      <c r="B180" s="10">
        <v>2970800</v>
      </c>
    </row>
    <row r="181" spans="1:2" x14ac:dyDescent="0.3">
      <c r="A181" s="3">
        <v>178</v>
      </c>
      <c r="B181" s="10">
        <v>2992800</v>
      </c>
    </row>
    <row r="182" spans="1:2" x14ac:dyDescent="0.3">
      <c r="A182" s="3">
        <v>179</v>
      </c>
      <c r="B182" s="10">
        <v>3034685</v>
      </c>
    </row>
    <row r="183" spans="1:2" x14ac:dyDescent="0.3">
      <c r="A183" s="3">
        <v>180</v>
      </c>
      <c r="B183" s="10">
        <v>3074768</v>
      </c>
    </row>
    <row r="184" spans="1:2" x14ac:dyDescent="0.3">
      <c r="A184" s="3">
        <v>181</v>
      </c>
      <c r="B184" s="10">
        <v>3084420</v>
      </c>
    </row>
    <row r="185" spans="1:2" x14ac:dyDescent="0.3">
      <c r="A185" s="3">
        <v>182</v>
      </c>
      <c r="B185" s="10">
        <v>3071174</v>
      </c>
    </row>
    <row r="186" spans="1:2" x14ac:dyDescent="0.3">
      <c r="A186" s="3">
        <v>183</v>
      </c>
      <c r="B186" s="10">
        <v>3085989</v>
      </c>
    </row>
    <row r="187" spans="1:2" x14ac:dyDescent="0.3">
      <c r="A187" s="3">
        <v>184</v>
      </c>
      <c r="B187" s="10">
        <v>3104214</v>
      </c>
    </row>
    <row r="188" spans="1:2" x14ac:dyDescent="0.3">
      <c r="A188" s="3">
        <v>185</v>
      </c>
      <c r="B188" s="10">
        <v>3130317</v>
      </c>
    </row>
    <row r="189" spans="1:2" x14ac:dyDescent="0.3">
      <c r="A189" s="3">
        <v>186</v>
      </c>
      <c r="B189" s="10">
        <v>3174935</v>
      </c>
    </row>
    <row r="190" spans="1:2" x14ac:dyDescent="0.3">
      <c r="A190" s="3">
        <v>187</v>
      </c>
      <c r="B190" s="10">
        <v>3188608</v>
      </c>
    </row>
    <row r="191" spans="1:2" x14ac:dyDescent="0.3">
      <c r="A191" s="3">
        <v>188</v>
      </c>
      <c r="B191" s="10">
        <v>3180236</v>
      </c>
    </row>
    <row r="192" spans="1:2" x14ac:dyDescent="0.3">
      <c r="A192" s="3">
        <v>189</v>
      </c>
      <c r="B192" s="10">
        <v>3156922</v>
      </c>
    </row>
    <row r="193" spans="1:2" x14ac:dyDescent="0.3">
      <c r="A193" s="3">
        <v>190</v>
      </c>
      <c r="B193" s="10">
        <v>3179372</v>
      </c>
    </row>
    <row r="194" spans="1:2" x14ac:dyDescent="0.3">
      <c r="A194" s="3">
        <v>191</v>
      </c>
      <c r="B194" s="10">
        <v>3155961</v>
      </c>
    </row>
    <row r="195" spans="1:2" x14ac:dyDescent="0.3">
      <c r="A195" s="3">
        <v>192</v>
      </c>
      <c r="B195" s="10">
        <v>3136484</v>
      </c>
    </row>
    <row r="196" spans="1:2" x14ac:dyDescent="0.3">
      <c r="A196" s="3">
        <v>193</v>
      </c>
      <c r="B196" s="10">
        <v>3151552</v>
      </c>
    </row>
    <row r="197" spans="1:2" x14ac:dyDescent="0.3">
      <c r="A197" s="3">
        <v>194</v>
      </c>
      <c r="B197" s="10">
        <v>3137340</v>
      </c>
    </row>
    <row r="198" spans="1:2" x14ac:dyDescent="0.3">
      <c r="A198" s="3">
        <v>195</v>
      </c>
      <c r="B198" s="10">
        <v>3148572</v>
      </c>
    </row>
    <row r="199" spans="1:2" x14ac:dyDescent="0.3">
      <c r="A199" s="3">
        <v>196</v>
      </c>
      <c r="B199" s="10">
        <v>3143528</v>
      </c>
    </row>
    <row r="200" spans="1:2" x14ac:dyDescent="0.3">
      <c r="A200" s="3">
        <v>197</v>
      </c>
      <c r="B200" s="10">
        <v>3158790</v>
      </c>
    </row>
    <row r="201" spans="1:2" x14ac:dyDescent="0.3">
      <c r="A201" s="3">
        <v>198</v>
      </c>
      <c r="B201" s="10">
        <v>3174061</v>
      </c>
    </row>
    <row r="202" spans="1:2" x14ac:dyDescent="0.3">
      <c r="A202" s="3">
        <v>199</v>
      </c>
      <c r="B202" s="10">
        <v>3233827</v>
      </c>
    </row>
    <row r="203" spans="1:2" x14ac:dyDescent="0.3">
      <c r="A203" s="3">
        <v>200</v>
      </c>
      <c r="B203" s="10">
        <v>3257296</v>
      </c>
    </row>
    <row r="204" spans="1:2" x14ac:dyDescent="0.3">
      <c r="A204" s="3">
        <v>201</v>
      </c>
      <c r="B204" s="10">
        <v>3243862</v>
      </c>
    </row>
    <row r="205" spans="1:2" x14ac:dyDescent="0.3">
      <c r="A205" s="3">
        <v>202</v>
      </c>
      <c r="B205" s="10">
        <v>3217488</v>
      </c>
    </row>
    <row r="206" spans="1:2" x14ac:dyDescent="0.3">
      <c r="A206" s="3">
        <v>203</v>
      </c>
      <c r="B206" s="10">
        <v>3224785</v>
      </c>
    </row>
    <row r="207" spans="1:2" x14ac:dyDescent="0.3">
      <c r="A207" s="3">
        <v>204</v>
      </c>
      <c r="B207" s="10">
        <v>3230932</v>
      </c>
    </row>
    <row r="208" spans="1:2" x14ac:dyDescent="0.3">
      <c r="A208" s="3">
        <v>205</v>
      </c>
      <c r="B208" s="10">
        <v>3231953</v>
      </c>
    </row>
    <row r="209" spans="1:2" x14ac:dyDescent="0.3">
      <c r="A209" s="3">
        <v>206</v>
      </c>
      <c r="B209" s="10">
        <v>3249283</v>
      </c>
    </row>
    <row r="210" spans="1:2" x14ac:dyDescent="0.3">
      <c r="A210" s="3">
        <v>207</v>
      </c>
      <c r="B210" s="10">
        <v>3226684</v>
      </c>
    </row>
    <row r="211" spans="1:2" x14ac:dyDescent="0.3">
      <c r="A211" s="3">
        <v>208</v>
      </c>
      <c r="B211" s="10">
        <v>3223371</v>
      </c>
    </row>
    <row r="212" spans="1:2" x14ac:dyDescent="0.3">
      <c r="A212" s="3">
        <v>209</v>
      </c>
      <c r="B212" s="10">
        <v>3238974</v>
      </c>
    </row>
    <row r="213" spans="1:2" x14ac:dyDescent="0.3">
      <c r="A213" s="3">
        <v>210</v>
      </c>
      <c r="B213" s="10">
        <v>3231739</v>
      </c>
    </row>
    <row r="214" spans="1:2" x14ac:dyDescent="0.3">
      <c r="A214" s="3">
        <v>211</v>
      </c>
      <c r="B214" s="10">
        <v>3251261</v>
      </c>
    </row>
    <row r="215" spans="1:2" x14ac:dyDescent="0.3">
      <c r="A215" s="3">
        <v>212</v>
      </c>
      <c r="B215" s="10">
        <v>3263307</v>
      </c>
    </row>
    <row r="216" spans="1:2" x14ac:dyDescent="0.3">
      <c r="A216" s="3">
        <v>213</v>
      </c>
      <c r="B216" s="10">
        <v>3307627</v>
      </c>
    </row>
    <row r="217" spans="1:2" x14ac:dyDescent="0.3">
      <c r="A217" s="3">
        <v>214</v>
      </c>
      <c r="B217" s="10">
        <v>3287701</v>
      </c>
    </row>
    <row r="218" spans="1:2" x14ac:dyDescent="0.3">
      <c r="A218" s="3">
        <v>215</v>
      </c>
      <c r="B218" s="10">
        <v>3319849</v>
      </c>
    </row>
    <row r="219" spans="1:2" x14ac:dyDescent="0.3">
      <c r="A219" s="3">
        <v>216</v>
      </c>
      <c r="B219" s="10">
        <v>3345216</v>
      </c>
    </row>
    <row r="220" spans="1:2" x14ac:dyDescent="0.3">
      <c r="A220" s="3">
        <v>217</v>
      </c>
      <c r="B220" s="10">
        <v>3369771</v>
      </c>
    </row>
    <row r="221" spans="1:2" x14ac:dyDescent="0.3">
      <c r="A221" s="3">
        <v>218</v>
      </c>
      <c r="B221" s="10">
        <v>3365925</v>
      </c>
    </row>
    <row r="222" spans="1:2" x14ac:dyDescent="0.3">
      <c r="A222" s="3">
        <v>219</v>
      </c>
      <c r="B222" s="10">
        <v>3378852</v>
      </c>
    </row>
    <row r="223" spans="1:2" x14ac:dyDescent="0.3">
      <c r="A223" s="3">
        <v>220</v>
      </c>
      <c r="B223" s="10">
        <v>3418792</v>
      </c>
    </row>
    <row r="224" spans="1:2" x14ac:dyDescent="0.3">
      <c r="A224" s="3">
        <v>221</v>
      </c>
      <c r="B224" s="10">
        <v>3385078</v>
      </c>
    </row>
    <row r="225" spans="1:2" x14ac:dyDescent="0.3">
      <c r="A225" s="3">
        <v>222</v>
      </c>
      <c r="B225" s="10">
        <v>3396942</v>
      </c>
    </row>
    <row r="226" spans="1:2" x14ac:dyDescent="0.3">
      <c r="A226" s="3">
        <v>223</v>
      </c>
      <c r="B226" s="10">
        <v>3391127</v>
      </c>
    </row>
    <row r="227" spans="1:2" x14ac:dyDescent="0.3">
      <c r="A227" s="3">
        <v>224</v>
      </c>
      <c r="B227" s="10">
        <v>3381246</v>
      </c>
    </row>
    <row r="228" spans="1:2" x14ac:dyDescent="0.3">
      <c r="A228" s="3">
        <v>225</v>
      </c>
      <c r="B228" s="10">
        <v>3410521</v>
      </c>
    </row>
    <row r="229" spans="1:2" x14ac:dyDescent="0.3">
      <c r="A229" s="3">
        <v>226</v>
      </c>
      <c r="B229" s="10">
        <v>3412658</v>
      </c>
    </row>
    <row r="230" spans="1:2" x14ac:dyDescent="0.3">
      <c r="A230" s="3">
        <v>227</v>
      </c>
      <c r="B230" s="10">
        <v>3423767</v>
      </c>
    </row>
    <row r="231" spans="1:2" x14ac:dyDescent="0.3">
      <c r="A231" s="3">
        <v>228</v>
      </c>
      <c r="B231" s="10">
        <v>3470324</v>
      </c>
    </row>
    <row r="232" spans="1:2" x14ac:dyDescent="0.3">
      <c r="A232" s="3">
        <v>229</v>
      </c>
      <c r="B232" s="10">
        <v>3473858</v>
      </c>
    </row>
    <row r="233" spans="1:2" x14ac:dyDescent="0.3">
      <c r="A233" s="3">
        <v>230</v>
      </c>
      <c r="B233" s="10">
        <v>3503939</v>
      </c>
    </row>
    <row r="234" spans="1:2" x14ac:dyDescent="0.3">
      <c r="A234" s="3">
        <v>231</v>
      </c>
      <c r="B234" s="10">
        <v>3525797</v>
      </c>
    </row>
    <row r="235" spans="1:2" x14ac:dyDescent="0.3">
      <c r="A235" s="3">
        <v>232</v>
      </c>
      <c r="B235" s="10">
        <v>3574573</v>
      </c>
    </row>
    <row r="236" spans="1:2" x14ac:dyDescent="0.3">
      <c r="A236" s="3">
        <v>233</v>
      </c>
      <c r="B236" s="10">
        <v>3597208</v>
      </c>
    </row>
    <row r="237" spans="1:2" x14ac:dyDescent="0.3">
      <c r="A237" s="3">
        <v>234</v>
      </c>
      <c r="B237" s="10">
        <v>3643647</v>
      </c>
    </row>
    <row r="238" spans="1:2" x14ac:dyDescent="0.3">
      <c r="A238" s="3">
        <v>235</v>
      </c>
      <c r="B238" s="10">
        <v>3623415</v>
      </c>
    </row>
    <row r="239" spans="1:2" x14ac:dyDescent="0.3">
      <c r="A239" s="3">
        <v>236</v>
      </c>
      <c r="B239" s="10">
        <v>3614276</v>
      </c>
    </row>
    <row r="240" spans="1:2" x14ac:dyDescent="0.3">
      <c r="A240" s="3">
        <v>237</v>
      </c>
      <c r="B240" s="10">
        <v>3628974</v>
      </c>
    </row>
    <row r="241" spans="1:2" x14ac:dyDescent="0.3">
      <c r="A241" s="3">
        <v>238</v>
      </c>
      <c r="B241" s="10">
        <v>3631405</v>
      </c>
    </row>
    <row r="242" spans="1:2" x14ac:dyDescent="0.3">
      <c r="A242" s="3">
        <v>239</v>
      </c>
      <c r="B242" s="10">
        <v>3677937</v>
      </c>
    </row>
    <row r="243" spans="1:2" x14ac:dyDescent="0.3">
      <c r="A243" s="3">
        <v>240</v>
      </c>
      <c r="B243" s="10">
        <v>3682301</v>
      </c>
    </row>
    <row r="244" spans="1:2" x14ac:dyDescent="0.3">
      <c r="A244" s="3">
        <v>241</v>
      </c>
      <c r="B244" s="10">
        <v>3697809</v>
      </c>
    </row>
    <row r="245" spans="1:2" x14ac:dyDescent="0.3">
      <c r="A245" s="3">
        <v>242</v>
      </c>
      <c r="B245" s="10">
        <v>3677100</v>
      </c>
    </row>
    <row r="246" spans="1:2" x14ac:dyDescent="0.3">
      <c r="A246" s="3">
        <v>243</v>
      </c>
      <c r="B246" s="10">
        <v>3714507</v>
      </c>
    </row>
    <row r="247" spans="1:2" x14ac:dyDescent="0.3">
      <c r="A247" s="3">
        <v>244</v>
      </c>
      <c r="B247" s="10">
        <v>3734658</v>
      </c>
    </row>
    <row r="248" spans="1:2" x14ac:dyDescent="0.3">
      <c r="A248" s="3">
        <v>245</v>
      </c>
      <c r="B248" s="10">
        <v>3766369</v>
      </c>
    </row>
    <row r="249" spans="1:2" x14ac:dyDescent="0.3">
      <c r="A249" s="3">
        <v>246</v>
      </c>
      <c r="B249" s="10">
        <v>3763446</v>
      </c>
    </row>
    <row r="250" spans="1:2" x14ac:dyDescent="0.3">
      <c r="A250" s="3">
        <v>247</v>
      </c>
      <c r="B250" s="10">
        <v>3793334</v>
      </c>
    </row>
    <row r="251" spans="1:2" x14ac:dyDescent="0.3">
      <c r="A251" s="3">
        <v>248</v>
      </c>
      <c r="B251" s="10">
        <v>3781763</v>
      </c>
    </row>
    <row r="252" spans="1:2" x14ac:dyDescent="0.3">
      <c r="A252" s="3">
        <v>249</v>
      </c>
      <c r="B252" s="10">
        <v>3773515</v>
      </c>
    </row>
    <row r="253" spans="1:2" x14ac:dyDescent="0.3">
      <c r="A253" s="3">
        <v>250</v>
      </c>
      <c r="B253" s="10">
        <v>3796755</v>
      </c>
    </row>
    <row r="254" spans="1:2" x14ac:dyDescent="0.3">
      <c r="A254" s="3" t="s">
        <v>13</v>
      </c>
      <c r="B254" s="10">
        <v>494662796</v>
      </c>
    </row>
  </sheetData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CD7C-95CD-4B90-BA74-A9041C045B6B}">
  <dimension ref="A3:L55"/>
  <sheetViews>
    <sheetView workbookViewId="0">
      <selection activeCell="J4" sqref="J4:J54"/>
    </sheetView>
  </sheetViews>
  <sheetFormatPr defaultRowHeight="14.4" x14ac:dyDescent="0.3"/>
  <cols>
    <col min="1" max="1" width="12.5546875" bestFit="1" customWidth="1"/>
    <col min="2" max="2" width="11.21875" bestFit="1" customWidth="1"/>
    <col min="3" max="3" width="14" bestFit="1" customWidth="1"/>
    <col min="4" max="4" width="20.77734375" bestFit="1" customWidth="1"/>
    <col min="6" max="8" width="13.6640625" bestFit="1" customWidth="1"/>
    <col min="12" max="12" width="10.6640625" bestFit="1" customWidth="1"/>
  </cols>
  <sheetData>
    <row r="3" spans="1:12" x14ac:dyDescent="0.3">
      <c r="A3" s="2" t="s">
        <v>12</v>
      </c>
      <c r="B3" t="s">
        <v>22</v>
      </c>
      <c r="C3" t="s">
        <v>23</v>
      </c>
      <c r="D3" t="s">
        <v>14</v>
      </c>
      <c r="F3" t="s">
        <v>3</v>
      </c>
      <c r="G3" t="s">
        <v>4</v>
      </c>
      <c r="H3" t="s">
        <v>25</v>
      </c>
      <c r="J3" t="s">
        <v>26</v>
      </c>
    </row>
    <row r="4" spans="1:12" x14ac:dyDescent="0.3">
      <c r="A4" s="3">
        <v>1</v>
      </c>
      <c r="B4">
        <v>33007</v>
      </c>
      <c r="C4">
        <v>44711</v>
      </c>
      <c r="D4">
        <v>77718</v>
      </c>
      <c r="F4" s="8">
        <f>B4</f>
        <v>33007</v>
      </c>
      <c r="G4" s="8">
        <f t="shared" ref="G4:H4" si="0">C4</f>
        <v>44711</v>
      </c>
      <c r="H4" s="8">
        <f t="shared" si="0"/>
        <v>77718</v>
      </c>
      <c r="J4">
        <f>0</f>
        <v>0</v>
      </c>
      <c r="L4" t="s">
        <v>26</v>
      </c>
    </row>
    <row r="5" spans="1:12" x14ac:dyDescent="0.3">
      <c r="A5" s="3">
        <v>2</v>
      </c>
      <c r="B5">
        <v>67308</v>
      </c>
      <c r="C5">
        <v>72603</v>
      </c>
      <c r="D5">
        <v>139911</v>
      </c>
      <c r="F5" s="8">
        <f t="shared" ref="F5:H6" si="1">F4+B5</f>
        <v>100315</v>
      </c>
      <c r="G5" s="8">
        <f t="shared" si="1"/>
        <v>117314</v>
      </c>
      <c r="H5" s="8">
        <f t="shared" si="1"/>
        <v>217629</v>
      </c>
      <c r="J5">
        <f>-MAX(H$4:H5)+H5</f>
        <v>0</v>
      </c>
      <c r="L5" s="6">
        <f>MIN(J5:J54)</f>
        <v>-28684</v>
      </c>
    </row>
    <row r="6" spans="1:12" x14ac:dyDescent="0.3">
      <c r="A6" s="3">
        <v>3</v>
      </c>
      <c r="B6">
        <v>53089</v>
      </c>
      <c r="C6">
        <v>52511</v>
      </c>
      <c r="D6">
        <v>105600</v>
      </c>
      <c r="F6" s="8">
        <f t="shared" si="1"/>
        <v>153404</v>
      </c>
      <c r="G6" s="8">
        <f t="shared" si="1"/>
        <v>169825</v>
      </c>
      <c r="H6" s="8">
        <f t="shared" si="1"/>
        <v>323229</v>
      </c>
      <c r="J6">
        <f>-MAX(H$4:H6)+H6</f>
        <v>0</v>
      </c>
    </row>
    <row r="7" spans="1:12" x14ac:dyDescent="0.3">
      <c r="A7" s="3">
        <v>4</v>
      </c>
      <c r="B7">
        <v>-18920</v>
      </c>
      <c r="C7">
        <v>2659</v>
      </c>
      <c r="D7">
        <v>-16261</v>
      </c>
      <c r="F7" s="8">
        <f t="shared" ref="F7:H54" si="2">F6+B7</f>
        <v>134484</v>
      </c>
      <c r="G7" s="8">
        <f t="shared" si="2"/>
        <v>172484</v>
      </c>
      <c r="H7" s="8">
        <f t="shared" si="2"/>
        <v>306968</v>
      </c>
      <c r="J7">
        <f>-MAX(H$4:H7)+H7</f>
        <v>-16261</v>
      </c>
    </row>
    <row r="8" spans="1:12" x14ac:dyDescent="0.3">
      <c r="A8" s="3">
        <v>5</v>
      </c>
      <c r="B8">
        <v>55892</v>
      </c>
      <c r="C8">
        <v>7209</v>
      </c>
      <c r="D8">
        <v>63101</v>
      </c>
      <c r="F8" s="8">
        <f t="shared" si="2"/>
        <v>190376</v>
      </c>
      <c r="G8" s="8">
        <f t="shared" si="2"/>
        <v>179693</v>
      </c>
      <c r="H8" s="8">
        <f t="shared" si="2"/>
        <v>370069</v>
      </c>
      <c r="J8">
        <f>-MAX(H$4:H8)+H8</f>
        <v>0</v>
      </c>
    </row>
    <row r="9" spans="1:12" x14ac:dyDescent="0.3">
      <c r="A9" s="3">
        <v>6</v>
      </c>
      <c r="B9">
        <v>-15236</v>
      </c>
      <c r="C9">
        <v>64229</v>
      </c>
      <c r="D9">
        <v>48993</v>
      </c>
      <c r="F9" s="8">
        <f t="shared" si="2"/>
        <v>175140</v>
      </c>
      <c r="G9" s="8">
        <f t="shared" si="2"/>
        <v>243922</v>
      </c>
      <c r="H9" s="8">
        <f t="shared" si="2"/>
        <v>419062</v>
      </c>
      <c r="J9">
        <f>-MAX(H$4:H9)+H9</f>
        <v>0</v>
      </c>
    </row>
    <row r="10" spans="1:12" x14ac:dyDescent="0.3">
      <c r="A10" s="3">
        <v>7</v>
      </c>
      <c r="B10">
        <v>10706</v>
      </c>
      <c r="C10">
        <v>44643</v>
      </c>
      <c r="D10">
        <v>55349</v>
      </c>
      <c r="F10" s="8">
        <f t="shared" si="2"/>
        <v>185846</v>
      </c>
      <c r="G10" s="8">
        <f t="shared" si="2"/>
        <v>288565</v>
      </c>
      <c r="H10" s="8">
        <f t="shared" si="2"/>
        <v>474411</v>
      </c>
      <c r="J10">
        <f>-MAX(H$4:H10)+H10</f>
        <v>0</v>
      </c>
    </row>
    <row r="11" spans="1:12" x14ac:dyDescent="0.3">
      <c r="A11" s="3">
        <v>8</v>
      </c>
      <c r="B11">
        <v>28562</v>
      </c>
      <c r="C11">
        <v>64973</v>
      </c>
      <c r="D11">
        <v>93535</v>
      </c>
      <c r="F11" s="8">
        <f t="shared" si="2"/>
        <v>214408</v>
      </c>
      <c r="G11" s="8">
        <f t="shared" si="2"/>
        <v>353538</v>
      </c>
      <c r="H11" s="8">
        <f t="shared" si="2"/>
        <v>567946</v>
      </c>
      <c r="J11">
        <f>-MAX(H$4:H11)+H11</f>
        <v>0</v>
      </c>
    </row>
    <row r="12" spans="1:12" x14ac:dyDescent="0.3">
      <c r="A12" s="3">
        <v>9</v>
      </c>
      <c r="B12">
        <v>-16643</v>
      </c>
      <c r="C12">
        <v>18426</v>
      </c>
      <c r="D12">
        <v>1783</v>
      </c>
      <c r="F12" s="8">
        <f t="shared" si="2"/>
        <v>197765</v>
      </c>
      <c r="G12" s="8">
        <f t="shared" si="2"/>
        <v>371964</v>
      </c>
      <c r="H12" s="8">
        <f t="shared" si="2"/>
        <v>569729</v>
      </c>
      <c r="J12">
        <f>-MAX(H$4:H12)+H12</f>
        <v>0</v>
      </c>
    </row>
    <row r="13" spans="1:12" x14ac:dyDescent="0.3">
      <c r="A13" s="3">
        <v>10</v>
      </c>
      <c r="B13">
        <v>19121</v>
      </c>
      <c r="C13">
        <v>97642</v>
      </c>
      <c r="D13">
        <v>116763</v>
      </c>
      <c r="F13" s="8">
        <f t="shared" si="2"/>
        <v>216886</v>
      </c>
      <c r="G13" s="8">
        <f t="shared" si="2"/>
        <v>469606</v>
      </c>
      <c r="H13" s="8">
        <f t="shared" si="2"/>
        <v>686492</v>
      </c>
      <c r="J13">
        <f>-MAX(H$4:H13)+H13</f>
        <v>0</v>
      </c>
    </row>
    <row r="14" spans="1:12" x14ac:dyDescent="0.3">
      <c r="A14" s="3">
        <v>11</v>
      </c>
      <c r="B14">
        <v>45837</v>
      </c>
      <c r="C14">
        <v>37781</v>
      </c>
      <c r="D14">
        <v>83618</v>
      </c>
      <c r="F14" s="8">
        <f t="shared" si="2"/>
        <v>262723</v>
      </c>
      <c r="G14" s="8">
        <f t="shared" si="2"/>
        <v>507387</v>
      </c>
      <c r="H14" s="8">
        <f t="shared" si="2"/>
        <v>770110</v>
      </c>
      <c r="J14">
        <f>-MAX(H$4:H14)+H14</f>
        <v>0</v>
      </c>
    </row>
    <row r="15" spans="1:12" x14ac:dyDescent="0.3">
      <c r="A15" s="3">
        <v>12</v>
      </c>
      <c r="B15">
        <v>58761</v>
      </c>
      <c r="C15">
        <v>20577</v>
      </c>
      <c r="D15">
        <v>79338</v>
      </c>
      <c r="F15" s="8">
        <f t="shared" si="2"/>
        <v>321484</v>
      </c>
      <c r="G15" s="8">
        <f t="shared" si="2"/>
        <v>527964</v>
      </c>
      <c r="H15" s="8">
        <f t="shared" si="2"/>
        <v>849448</v>
      </c>
      <c r="J15">
        <f>-MAX(H$4:H15)+H15</f>
        <v>0</v>
      </c>
    </row>
    <row r="16" spans="1:12" x14ac:dyDescent="0.3">
      <c r="A16" s="3">
        <v>13</v>
      </c>
      <c r="B16">
        <v>3427</v>
      </c>
      <c r="C16">
        <v>27673</v>
      </c>
      <c r="D16">
        <v>31100</v>
      </c>
      <c r="F16" s="8">
        <f t="shared" si="2"/>
        <v>324911</v>
      </c>
      <c r="G16" s="8">
        <f t="shared" si="2"/>
        <v>555637</v>
      </c>
      <c r="H16" s="8">
        <f t="shared" si="2"/>
        <v>880548</v>
      </c>
      <c r="J16">
        <f>-MAX(H$4:H16)+H16</f>
        <v>0</v>
      </c>
    </row>
    <row r="17" spans="1:10" x14ac:dyDescent="0.3">
      <c r="A17" s="3">
        <v>14</v>
      </c>
      <c r="B17">
        <v>30970</v>
      </c>
      <c r="C17">
        <v>13987</v>
      </c>
      <c r="D17">
        <v>44957</v>
      </c>
      <c r="F17" s="8">
        <f t="shared" si="2"/>
        <v>355881</v>
      </c>
      <c r="G17" s="8">
        <f t="shared" si="2"/>
        <v>569624</v>
      </c>
      <c r="H17" s="8">
        <f t="shared" si="2"/>
        <v>925505</v>
      </c>
      <c r="J17">
        <f>-MAX(H$4:H17)+H17</f>
        <v>0</v>
      </c>
    </row>
    <row r="18" spans="1:10" x14ac:dyDescent="0.3">
      <c r="A18" s="3">
        <v>15</v>
      </c>
      <c r="B18">
        <v>46725</v>
      </c>
      <c r="C18">
        <v>101348</v>
      </c>
      <c r="D18">
        <v>148073</v>
      </c>
      <c r="F18" s="8">
        <f t="shared" si="2"/>
        <v>402606</v>
      </c>
      <c r="G18" s="8">
        <f t="shared" si="2"/>
        <v>670972</v>
      </c>
      <c r="H18" s="8">
        <f t="shared" si="2"/>
        <v>1073578</v>
      </c>
      <c r="J18">
        <f>-MAX(H$4:H18)+H18</f>
        <v>0</v>
      </c>
    </row>
    <row r="19" spans="1:10" x14ac:dyDescent="0.3">
      <c r="A19" s="3">
        <v>16</v>
      </c>
      <c r="B19">
        <v>24616</v>
      </c>
      <c r="C19">
        <v>25393</v>
      </c>
      <c r="D19">
        <v>50009</v>
      </c>
      <c r="F19" s="8">
        <f t="shared" si="2"/>
        <v>427222</v>
      </c>
      <c r="G19" s="8">
        <f t="shared" si="2"/>
        <v>696365</v>
      </c>
      <c r="H19" s="8">
        <f t="shared" si="2"/>
        <v>1123587</v>
      </c>
      <c r="J19">
        <f>-MAX(H$4:H19)+H19</f>
        <v>0</v>
      </c>
    </row>
    <row r="20" spans="1:10" x14ac:dyDescent="0.3">
      <c r="A20" s="3">
        <v>17</v>
      </c>
      <c r="B20">
        <v>39888</v>
      </c>
      <c r="C20">
        <v>79998</v>
      </c>
      <c r="D20">
        <v>119886</v>
      </c>
      <c r="F20" s="8">
        <f t="shared" si="2"/>
        <v>467110</v>
      </c>
      <c r="G20" s="8">
        <f t="shared" si="2"/>
        <v>776363</v>
      </c>
      <c r="H20" s="8">
        <f t="shared" si="2"/>
        <v>1243473</v>
      </c>
      <c r="J20">
        <f>-MAX(H$4:H20)+H20</f>
        <v>0</v>
      </c>
    </row>
    <row r="21" spans="1:10" x14ac:dyDescent="0.3">
      <c r="A21" s="3">
        <v>18</v>
      </c>
      <c r="B21">
        <v>75112</v>
      </c>
      <c r="C21">
        <v>38802</v>
      </c>
      <c r="D21">
        <v>113914</v>
      </c>
      <c r="F21" s="8">
        <f t="shared" si="2"/>
        <v>542222</v>
      </c>
      <c r="G21" s="8">
        <f t="shared" si="2"/>
        <v>815165</v>
      </c>
      <c r="H21" s="8">
        <f t="shared" si="2"/>
        <v>1357387</v>
      </c>
      <c r="J21">
        <f>-MAX(H$4:H21)+H21</f>
        <v>0</v>
      </c>
    </row>
    <row r="22" spans="1:10" x14ac:dyDescent="0.3">
      <c r="A22" s="3">
        <v>19</v>
      </c>
      <c r="B22">
        <v>28589</v>
      </c>
      <c r="C22">
        <v>8392</v>
      </c>
      <c r="D22">
        <v>36981</v>
      </c>
      <c r="F22" s="8">
        <f t="shared" si="2"/>
        <v>570811</v>
      </c>
      <c r="G22" s="8">
        <f t="shared" si="2"/>
        <v>823557</v>
      </c>
      <c r="H22" s="8">
        <f t="shared" si="2"/>
        <v>1394368</v>
      </c>
      <c r="J22">
        <f>-MAX(H$4:H22)+H22</f>
        <v>0</v>
      </c>
    </row>
    <row r="23" spans="1:10" x14ac:dyDescent="0.3">
      <c r="A23" s="3">
        <v>20</v>
      </c>
      <c r="B23">
        <v>24943</v>
      </c>
      <c r="C23">
        <v>12823</v>
      </c>
      <c r="D23">
        <v>37766</v>
      </c>
      <c r="F23" s="8">
        <f t="shared" si="2"/>
        <v>595754</v>
      </c>
      <c r="G23" s="8">
        <f t="shared" si="2"/>
        <v>836380</v>
      </c>
      <c r="H23" s="8">
        <f t="shared" si="2"/>
        <v>1432134</v>
      </c>
      <c r="J23">
        <f>-MAX(H$4:H23)+H23</f>
        <v>0</v>
      </c>
    </row>
    <row r="24" spans="1:10" x14ac:dyDescent="0.3">
      <c r="A24" s="3">
        <v>21</v>
      </c>
      <c r="B24">
        <v>-6941</v>
      </c>
      <c r="C24">
        <v>99492</v>
      </c>
      <c r="D24">
        <v>92551</v>
      </c>
      <c r="F24" s="8">
        <f t="shared" si="2"/>
        <v>588813</v>
      </c>
      <c r="G24" s="8">
        <f t="shared" si="2"/>
        <v>935872</v>
      </c>
      <c r="H24" s="8">
        <f t="shared" si="2"/>
        <v>1524685</v>
      </c>
      <c r="J24">
        <f>-MAX(H$4:H24)+H24</f>
        <v>0</v>
      </c>
    </row>
    <row r="25" spans="1:10" x14ac:dyDescent="0.3">
      <c r="A25" s="3">
        <v>22</v>
      </c>
      <c r="B25">
        <v>116764</v>
      </c>
      <c r="C25">
        <v>41311</v>
      </c>
      <c r="D25">
        <v>158075</v>
      </c>
      <c r="F25" s="8">
        <f t="shared" si="2"/>
        <v>705577</v>
      </c>
      <c r="G25" s="8">
        <f t="shared" si="2"/>
        <v>977183</v>
      </c>
      <c r="H25" s="8">
        <f t="shared" si="2"/>
        <v>1682760</v>
      </c>
      <c r="J25">
        <f>-MAX(H$4:H25)+H25</f>
        <v>0</v>
      </c>
    </row>
    <row r="26" spans="1:10" x14ac:dyDescent="0.3">
      <c r="A26" s="3">
        <v>23</v>
      </c>
      <c r="B26">
        <v>5846</v>
      </c>
      <c r="C26">
        <v>93057</v>
      </c>
      <c r="D26">
        <v>98903</v>
      </c>
      <c r="F26" s="8">
        <f t="shared" si="2"/>
        <v>711423</v>
      </c>
      <c r="G26" s="8">
        <f t="shared" si="2"/>
        <v>1070240</v>
      </c>
      <c r="H26" s="8">
        <f t="shared" si="2"/>
        <v>1781663</v>
      </c>
      <c r="J26">
        <f>-MAX(H$4:H26)+H26</f>
        <v>0</v>
      </c>
    </row>
    <row r="27" spans="1:10" x14ac:dyDescent="0.3">
      <c r="A27" s="3">
        <v>24</v>
      </c>
      <c r="B27">
        <v>56233</v>
      </c>
      <c r="C27">
        <v>45203</v>
      </c>
      <c r="D27">
        <v>101436</v>
      </c>
      <c r="F27" s="8">
        <f t="shared" si="2"/>
        <v>767656</v>
      </c>
      <c r="G27" s="8">
        <f t="shared" si="2"/>
        <v>1115443</v>
      </c>
      <c r="H27" s="8">
        <f t="shared" si="2"/>
        <v>1883099</v>
      </c>
      <c r="J27">
        <f>-MAX(H$4:H27)+H27</f>
        <v>0</v>
      </c>
    </row>
    <row r="28" spans="1:10" x14ac:dyDescent="0.3">
      <c r="A28" s="3">
        <v>25</v>
      </c>
      <c r="B28">
        <v>26542</v>
      </c>
      <c r="C28">
        <v>58119</v>
      </c>
      <c r="D28">
        <v>84661</v>
      </c>
      <c r="F28" s="8">
        <f t="shared" si="2"/>
        <v>794198</v>
      </c>
      <c r="G28" s="8">
        <f t="shared" si="2"/>
        <v>1173562</v>
      </c>
      <c r="H28" s="8">
        <f t="shared" si="2"/>
        <v>1967760</v>
      </c>
      <c r="J28">
        <f>-MAX(H$4:H28)+H28</f>
        <v>0</v>
      </c>
    </row>
    <row r="29" spans="1:10" x14ac:dyDescent="0.3">
      <c r="A29" s="3">
        <v>26</v>
      </c>
      <c r="B29">
        <v>37170</v>
      </c>
      <c r="C29">
        <v>-10435</v>
      </c>
      <c r="D29">
        <v>26735</v>
      </c>
      <c r="F29" s="8">
        <f t="shared" si="2"/>
        <v>831368</v>
      </c>
      <c r="G29" s="8">
        <f t="shared" si="2"/>
        <v>1163127</v>
      </c>
      <c r="H29" s="8">
        <f t="shared" si="2"/>
        <v>1994495</v>
      </c>
      <c r="J29">
        <f>-MAX(H$4:H29)+H29</f>
        <v>0</v>
      </c>
    </row>
    <row r="30" spans="1:10" x14ac:dyDescent="0.3">
      <c r="A30" s="3">
        <v>27</v>
      </c>
      <c r="B30">
        <v>36398</v>
      </c>
      <c r="C30">
        <v>105791</v>
      </c>
      <c r="D30">
        <v>142189</v>
      </c>
      <c r="F30" s="8">
        <f t="shared" si="2"/>
        <v>867766</v>
      </c>
      <c r="G30" s="8">
        <f t="shared" si="2"/>
        <v>1268918</v>
      </c>
      <c r="H30" s="8">
        <f t="shared" si="2"/>
        <v>2136684</v>
      </c>
      <c r="J30">
        <f>-MAX(H$4:H30)+H30</f>
        <v>0</v>
      </c>
    </row>
    <row r="31" spans="1:10" x14ac:dyDescent="0.3">
      <c r="A31" s="3">
        <v>28</v>
      </c>
      <c r="B31">
        <v>2356</v>
      </c>
      <c r="C31">
        <v>22829</v>
      </c>
      <c r="D31">
        <v>25185</v>
      </c>
      <c r="F31" s="8">
        <f t="shared" si="2"/>
        <v>870122</v>
      </c>
      <c r="G31" s="8">
        <f t="shared" si="2"/>
        <v>1291747</v>
      </c>
      <c r="H31" s="8">
        <f t="shared" si="2"/>
        <v>2161869</v>
      </c>
      <c r="J31">
        <f>-MAX(H$4:H31)+H31</f>
        <v>0</v>
      </c>
    </row>
    <row r="32" spans="1:10" x14ac:dyDescent="0.3">
      <c r="A32" s="3">
        <v>29</v>
      </c>
      <c r="B32">
        <v>51963</v>
      </c>
      <c r="C32">
        <v>65364</v>
      </c>
      <c r="D32">
        <v>117327</v>
      </c>
      <c r="F32" s="8">
        <f t="shared" si="2"/>
        <v>922085</v>
      </c>
      <c r="G32" s="8">
        <f t="shared" si="2"/>
        <v>1357111</v>
      </c>
      <c r="H32" s="8">
        <f t="shared" si="2"/>
        <v>2279196</v>
      </c>
      <c r="J32">
        <f>-MAX(H$4:H32)+H32</f>
        <v>0</v>
      </c>
    </row>
    <row r="33" spans="1:10" x14ac:dyDescent="0.3">
      <c r="A33" s="3">
        <v>30</v>
      </c>
      <c r="B33">
        <v>94593</v>
      </c>
      <c r="C33">
        <v>75905</v>
      </c>
      <c r="D33">
        <v>170498</v>
      </c>
      <c r="F33" s="8">
        <f t="shared" si="2"/>
        <v>1016678</v>
      </c>
      <c r="G33" s="8">
        <f t="shared" si="2"/>
        <v>1433016</v>
      </c>
      <c r="H33" s="8">
        <f t="shared" si="2"/>
        <v>2449694</v>
      </c>
      <c r="J33">
        <f>-MAX(H$4:H33)+H33</f>
        <v>0</v>
      </c>
    </row>
    <row r="34" spans="1:10" x14ac:dyDescent="0.3">
      <c r="A34" s="3">
        <v>31</v>
      </c>
      <c r="B34">
        <v>46984</v>
      </c>
      <c r="C34">
        <v>43364</v>
      </c>
      <c r="D34">
        <v>90348</v>
      </c>
      <c r="F34" s="8">
        <f t="shared" si="2"/>
        <v>1063662</v>
      </c>
      <c r="G34" s="8">
        <f t="shared" si="2"/>
        <v>1476380</v>
      </c>
      <c r="H34" s="8">
        <f t="shared" si="2"/>
        <v>2540042</v>
      </c>
      <c r="J34">
        <f>-MAX(H$4:H34)+H34</f>
        <v>0</v>
      </c>
    </row>
    <row r="35" spans="1:10" x14ac:dyDescent="0.3">
      <c r="A35" s="3">
        <v>32</v>
      </c>
      <c r="B35">
        <v>19722</v>
      </c>
      <c r="C35">
        <v>115891</v>
      </c>
      <c r="D35">
        <v>135613</v>
      </c>
      <c r="F35" s="8">
        <f t="shared" si="2"/>
        <v>1083384</v>
      </c>
      <c r="G35" s="8">
        <f t="shared" si="2"/>
        <v>1592271</v>
      </c>
      <c r="H35" s="8">
        <f t="shared" si="2"/>
        <v>2675655</v>
      </c>
      <c r="J35">
        <f>-MAX(H$4:H35)+H35</f>
        <v>0</v>
      </c>
    </row>
    <row r="36" spans="1:10" x14ac:dyDescent="0.3">
      <c r="A36" s="3">
        <v>33</v>
      </c>
      <c r="B36">
        <v>85345</v>
      </c>
      <c r="C36">
        <v>15841</v>
      </c>
      <c r="D36">
        <v>101186</v>
      </c>
      <c r="F36" s="8">
        <f t="shared" si="2"/>
        <v>1168729</v>
      </c>
      <c r="G36" s="8">
        <f t="shared" si="2"/>
        <v>1608112</v>
      </c>
      <c r="H36" s="8">
        <f t="shared" si="2"/>
        <v>2776841</v>
      </c>
      <c r="J36">
        <f>-MAX(H$4:H36)+H36</f>
        <v>0</v>
      </c>
    </row>
    <row r="37" spans="1:10" x14ac:dyDescent="0.3">
      <c r="A37" s="3">
        <v>34</v>
      </c>
      <c r="B37">
        <v>41531</v>
      </c>
      <c r="C37">
        <v>58322</v>
      </c>
      <c r="D37">
        <v>99853</v>
      </c>
      <c r="F37" s="8">
        <f t="shared" si="2"/>
        <v>1210260</v>
      </c>
      <c r="G37" s="8">
        <f t="shared" si="2"/>
        <v>1666434</v>
      </c>
      <c r="H37" s="8">
        <f t="shared" si="2"/>
        <v>2876694</v>
      </c>
      <c r="J37">
        <f>-MAX(H$4:H37)+H37</f>
        <v>0</v>
      </c>
    </row>
    <row r="38" spans="1:10" x14ac:dyDescent="0.3">
      <c r="A38" s="3">
        <v>35</v>
      </c>
      <c r="B38">
        <v>14030</v>
      </c>
      <c r="C38">
        <v>-14600</v>
      </c>
      <c r="D38">
        <v>-570</v>
      </c>
      <c r="F38" s="8">
        <f t="shared" si="2"/>
        <v>1224290</v>
      </c>
      <c r="G38" s="8">
        <f t="shared" si="2"/>
        <v>1651834</v>
      </c>
      <c r="H38" s="8">
        <f t="shared" si="2"/>
        <v>2876124</v>
      </c>
      <c r="J38">
        <f>-MAX(H$4:H38)+H38</f>
        <v>-570</v>
      </c>
    </row>
    <row r="39" spans="1:10" x14ac:dyDescent="0.3">
      <c r="A39" s="3">
        <v>36</v>
      </c>
      <c r="B39">
        <v>37449</v>
      </c>
      <c r="C39">
        <v>79227</v>
      </c>
      <c r="D39">
        <v>116676</v>
      </c>
      <c r="F39" s="8">
        <f t="shared" si="2"/>
        <v>1261739</v>
      </c>
      <c r="G39" s="8">
        <f t="shared" si="2"/>
        <v>1731061</v>
      </c>
      <c r="H39" s="8">
        <f t="shared" si="2"/>
        <v>2992800</v>
      </c>
      <c r="J39">
        <f>-MAX(H$4:H39)+H39</f>
        <v>0</v>
      </c>
    </row>
    <row r="40" spans="1:10" x14ac:dyDescent="0.3">
      <c r="A40" s="3">
        <v>37</v>
      </c>
      <c r="B40">
        <v>53600</v>
      </c>
      <c r="C40">
        <v>39589</v>
      </c>
      <c r="D40">
        <v>93189</v>
      </c>
      <c r="F40" s="8">
        <f t="shared" si="2"/>
        <v>1315339</v>
      </c>
      <c r="G40" s="8">
        <f t="shared" si="2"/>
        <v>1770650</v>
      </c>
      <c r="H40" s="8">
        <f t="shared" si="2"/>
        <v>3085989</v>
      </c>
      <c r="J40">
        <f>-MAX(H$4:H40)+H40</f>
        <v>0</v>
      </c>
    </row>
    <row r="41" spans="1:10" x14ac:dyDescent="0.3">
      <c r="A41" s="3">
        <v>38</v>
      </c>
      <c r="B41">
        <v>57315</v>
      </c>
      <c r="C41">
        <v>36932</v>
      </c>
      <c r="D41">
        <v>94247</v>
      </c>
      <c r="F41" s="8">
        <f t="shared" si="2"/>
        <v>1372654</v>
      </c>
      <c r="G41" s="8">
        <f t="shared" si="2"/>
        <v>1807582</v>
      </c>
      <c r="H41" s="8">
        <f t="shared" si="2"/>
        <v>3180236</v>
      </c>
      <c r="J41">
        <f>-MAX(H$4:H41)+H41</f>
        <v>0</v>
      </c>
    </row>
    <row r="42" spans="1:10" x14ac:dyDescent="0.3">
      <c r="A42" s="3">
        <v>39</v>
      </c>
      <c r="B42">
        <v>-30970</v>
      </c>
      <c r="C42">
        <v>2286</v>
      </c>
      <c r="D42">
        <v>-28684</v>
      </c>
      <c r="F42" s="8">
        <f t="shared" si="2"/>
        <v>1341684</v>
      </c>
      <c r="G42" s="8">
        <f t="shared" si="2"/>
        <v>1809868</v>
      </c>
      <c r="H42" s="8">
        <f t="shared" si="2"/>
        <v>3151552</v>
      </c>
      <c r="J42">
        <f>-MAX(H$4:H42)+H42</f>
        <v>-28684</v>
      </c>
    </row>
    <row r="43" spans="1:10" x14ac:dyDescent="0.3">
      <c r="A43" s="3">
        <v>40</v>
      </c>
      <c r="B43">
        <v>-13986</v>
      </c>
      <c r="C43">
        <v>36495</v>
      </c>
      <c r="D43">
        <v>22509</v>
      </c>
      <c r="F43" s="8">
        <f t="shared" si="2"/>
        <v>1327698</v>
      </c>
      <c r="G43" s="8">
        <f t="shared" si="2"/>
        <v>1846363</v>
      </c>
      <c r="H43" s="8">
        <f t="shared" si="2"/>
        <v>3174061</v>
      </c>
      <c r="J43">
        <f>-MAX(H$4:H43)+H43</f>
        <v>-6175</v>
      </c>
    </row>
    <row r="44" spans="1:10" x14ac:dyDescent="0.3">
      <c r="A44" s="3">
        <v>41</v>
      </c>
      <c r="B44">
        <v>24001</v>
      </c>
      <c r="C44">
        <v>26723</v>
      </c>
      <c r="D44">
        <v>50724</v>
      </c>
      <c r="F44" s="8">
        <f t="shared" si="2"/>
        <v>1351699</v>
      </c>
      <c r="G44" s="8">
        <f t="shared" si="2"/>
        <v>1873086</v>
      </c>
      <c r="H44" s="8">
        <f t="shared" si="2"/>
        <v>3224785</v>
      </c>
      <c r="J44">
        <f>-MAX(H$4:H44)+H44</f>
        <v>0</v>
      </c>
    </row>
    <row r="45" spans="1:10" x14ac:dyDescent="0.3">
      <c r="A45" s="3">
        <v>42</v>
      </c>
      <c r="B45">
        <v>4337</v>
      </c>
      <c r="C45">
        <v>-5751</v>
      </c>
      <c r="D45">
        <v>-1414</v>
      </c>
      <c r="F45" s="8">
        <f t="shared" si="2"/>
        <v>1356036</v>
      </c>
      <c r="G45" s="8">
        <f t="shared" si="2"/>
        <v>1867335</v>
      </c>
      <c r="H45" s="8">
        <f t="shared" si="2"/>
        <v>3223371</v>
      </c>
      <c r="J45">
        <f>-MAX(H$4:H45)+H45</f>
        <v>-1414</v>
      </c>
    </row>
    <row r="46" spans="1:10" x14ac:dyDescent="0.3">
      <c r="A46" s="3">
        <v>43</v>
      </c>
      <c r="B46">
        <v>75045</v>
      </c>
      <c r="C46">
        <v>9211</v>
      </c>
      <c r="D46">
        <v>84256</v>
      </c>
      <c r="F46" s="8">
        <f t="shared" si="2"/>
        <v>1431081</v>
      </c>
      <c r="G46" s="8">
        <f t="shared" si="2"/>
        <v>1876546</v>
      </c>
      <c r="H46" s="8">
        <f t="shared" si="2"/>
        <v>3307627</v>
      </c>
      <c r="J46">
        <f>-MAX(H$4:H46)+H46</f>
        <v>0</v>
      </c>
    </row>
    <row r="47" spans="1:10" x14ac:dyDescent="0.3">
      <c r="A47" s="3">
        <v>44</v>
      </c>
      <c r="B47">
        <v>59593</v>
      </c>
      <c r="C47">
        <v>-1295</v>
      </c>
      <c r="D47">
        <v>58298</v>
      </c>
      <c r="F47" s="8">
        <f t="shared" si="2"/>
        <v>1490674</v>
      </c>
      <c r="G47" s="8">
        <f t="shared" si="2"/>
        <v>1875251</v>
      </c>
      <c r="H47" s="8">
        <f t="shared" si="2"/>
        <v>3365925</v>
      </c>
      <c r="J47">
        <f>-MAX(H$4:H47)+H47</f>
        <v>0</v>
      </c>
    </row>
    <row r="48" spans="1:10" x14ac:dyDescent="0.3">
      <c r="A48" s="3">
        <v>45</v>
      </c>
      <c r="B48">
        <v>2849</v>
      </c>
      <c r="C48">
        <v>22353</v>
      </c>
      <c r="D48">
        <v>25202</v>
      </c>
      <c r="F48" s="8">
        <f t="shared" si="2"/>
        <v>1493523</v>
      </c>
      <c r="G48" s="8">
        <f t="shared" si="2"/>
        <v>1897604</v>
      </c>
      <c r="H48" s="8">
        <f t="shared" si="2"/>
        <v>3391127</v>
      </c>
      <c r="J48">
        <f>-MAX(H$4:H48)+H48</f>
        <v>0</v>
      </c>
    </row>
    <row r="49" spans="1:10" x14ac:dyDescent="0.3">
      <c r="A49" s="3">
        <v>46</v>
      </c>
      <c r="B49">
        <v>11884</v>
      </c>
      <c r="C49">
        <v>67313</v>
      </c>
      <c r="D49">
        <v>79197</v>
      </c>
      <c r="F49" s="8">
        <f t="shared" si="2"/>
        <v>1505407</v>
      </c>
      <c r="G49" s="8">
        <f t="shared" si="2"/>
        <v>1964917</v>
      </c>
      <c r="H49" s="8">
        <f t="shared" si="2"/>
        <v>3470324</v>
      </c>
      <c r="J49">
        <f>-MAX(H$4:H49)+H49</f>
        <v>0</v>
      </c>
    </row>
    <row r="50" spans="1:10" x14ac:dyDescent="0.3">
      <c r="A50" s="3">
        <v>47</v>
      </c>
      <c r="B50">
        <v>57140</v>
      </c>
      <c r="C50">
        <v>69744</v>
      </c>
      <c r="D50">
        <v>126884</v>
      </c>
      <c r="F50" s="8">
        <f t="shared" si="2"/>
        <v>1562547</v>
      </c>
      <c r="G50" s="8">
        <f t="shared" si="2"/>
        <v>2034661</v>
      </c>
      <c r="H50" s="8">
        <f t="shared" si="2"/>
        <v>3597208</v>
      </c>
      <c r="J50">
        <f>-MAX(H$4:H50)+H50</f>
        <v>0</v>
      </c>
    </row>
    <row r="51" spans="1:10" x14ac:dyDescent="0.3">
      <c r="A51" s="3">
        <v>48</v>
      </c>
      <c r="B51">
        <v>-24557</v>
      </c>
      <c r="C51">
        <v>58754</v>
      </c>
      <c r="D51">
        <v>34197</v>
      </c>
      <c r="F51" s="8">
        <f t="shared" si="2"/>
        <v>1537990</v>
      </c>
      <c r="G51" s="8">
        <f t="shared" si="2"/>
        <v>2093415</v>
      </c>
      <c r="H51" s="8">
        <f t="shared" si="2"/>
        <v>3631405</v>
      </c>
      <c r="J51">
        <f>-MAX(H$4:H51)+H51</f>
        <v>0</v>
      </c>
    </row>
    <row r="52" spans="1:10" x14ac:dyDescent="0.3">
      <c r="A52" s="3">
        <v>49</v>
      </c>
      <c r="B52">
        <v>16023</v>
      </c>
      <c r="C52">
        <v>67079</v>
      </c>
      <c r="D52">
        <v>83102</v>
      </c>
      <c r="F52" s="8">
        <f t="shared" si="2"/>
        <v>1554013</v>
      </c>
      <c r="G52" s="8">
        <f t="shared" si="2"/>
        <v>2160494</v>
      </c>
      <c r="H52" s="8">
        <f t="shared" si="2"/>
        <v>3714507</v>
      </c>
      <c r="J52">
        <f>-MAX(H$4:H52)+H52</f>
        <v>0</v>
      </c>
    </row>
    <row r="53" spans="1:10" x14ac:dyDescent="0.3">
      <c r="A53" s="3">
        <v>50</v>
      </c>
      <c r="B53">
        <v>32084</v>
      </c>
      <c r="C53">
        <v>35172</v>
      </c>
      <c r="D53">
        <v>67256</v>
      </c>
      <c r="F53" s="8">
        <f t="shared" si="2"/>
        <v>1586097</v>
      </c>
      <c r="G53" s="8">
        <f t="shared" si="2"/>
        <v>2195666</v>
      </c>
      <c r="H53" s="8">
        <f t="shared" si="2"/>
        <v>3781763</v>
      </c>
      <c r="J53">
        <f>-MAX(H$4:H53)+H53</f>
        <v>0</v>
      </c>
    </row>
    <row r="54" spans="1:10" x14ac:dyDescent="0.3">
      <c r="A54" s="3">
        <v>51</v>
      </c>
      <c r="B54">
        <v>-24494</v>
      </c>
      <c r="C54">
        <v>39486</v>
      </c>
      <c r="D54">
        <v>14992</v>
      </c>
      <c r="F54" s="8">
        <f t="shared" si="2"/>
        <v>1561603</v>
      </c>
      <c r="G54" s="8">
        <f t="shared" si="2"/>
        <v>2235152</v>
      </c>
      <c r="H54" s="8">
        <f t="shared" si="2"/>
        <v>3796755</v>
      </c>
      <c r="J54">
        <f>-MAX(H$4:H54)+H54</f>
        <v>0</v>
      </c>
    </row>
    <row r="55" spans="1:10" x14ac:dyDescent="0.3">
      <c r="A55" s="3" t="s">
        <v>13</v>
      </c>
      <c r="B55">
        <v>1561603</v>
      </c>
      <c r="C55">
        <v>2235152</v>
      </c>
      <c r="D55">
        <v>3796755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2476-F8B0-4FD7-9FAA-2A3E8D23E767}">
  <dimension ref="A1:Q251"/>
  <sheetViews>
    <sheetView workbookViewId="0">
      <selection activeCell="P4" sqref="P4"/>
    </sheetView>
  </sheetViews>
  <sheetFormatPr defaultRowHeight="14.4" x14ac:dyDescent="0.3"/>
  <cols>
    <col min="2" max="2" width="10.5546875" bestFit="1" customWidth="1"/>
    <col min="6" max="6" width="9.33203125" customWidth="1"/>
    <col min="7" max="7" width="16" customWidth="1"/>
    <col min="8" max="8" width="16.33203125" customWidth="1"/>
    <col min="14" max="14" width="17.21875" bestFit="1" customWidth="1"/>
    <col min="15" max="15" width="13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24</v>
      </c>
      <c r="J1" t="s">
        <v>29</v>
      </c>
      <c r="K1" t="s">
        <v>28</v>
      </c>
      <c r="N1" t="s">
        <v>3</v>
      </c>
      <c r="O1" t="s">
        <v>4</v>
      </c>
    </row>
    <row r="2" spans="1:17" x14ac:dyDescent="0.3">
      <c r="A2">
        <v>1</v>
      </c>
      <c r="B2" s="1">
        <v>45658</v>
      </c>
      <c r="C2" t="s">
        <v>7</v>
      </c>
      <c r="D2" t="str">
        <f>TEXT(Table1[[#This Row],[Date]],"mmm")</f>
        <v>Jan</v>
      </c>
      <c r="E2">
        <v>17448</v>
      </c>
      <c r="F2">
        <v>797</v>
      </c>
      <c r="G2">
        <f>Table1[[#This Row],[Algo]]+Table1[[#This Row],[Manual]]</f>
        <v>18245</v>
      </c>
      <c r="H2">
        <f>Table1[[#This Row],[Total Gross P&amp;L]]</f>
        <v>18245</v>
      </c>
      <c r="I2">
        <f>WEEKNUM(Table1[[#This Row],[Date]])</f>
        <v>1</v>
      </c>
      <c r="J2">
        <f t="shared" ref="J2" si="0">IF(G2&gt;0,1,0)</f>
        <v>1</v>
      </c>
      <c r="K2">
        <f t="shared" ref="K2" si="1">IF(G2&lt;0,1,0)</f>
        <v>0</v>
      </c>
      <c r="N2" s="6">
        <f>SUM(Table1[Algo])</f>
        <v>1561603</v>
      </c>
      <c r="O2" s="6">
        <f>SUM(Table1[Manual])</f>
        <v>2235152</v>
      </c>
      <c r="P2" t="s">
        <v>30</v>
      </c>
      <c r="Q2">
        <f>MAX(Table1[win st])</f>
        <v>10</v>
      </c>
    </row>
    <row r="3" spans="1:17" x14ac:dyDescent="0.3">
      <c r="A3">
        <v>2</v>
      </c>
      <c r="B3" s="1">
        <v>45659</v>
      </c>
      <c r="C3" t="s">
        <v>8</v>
      </c>
      <c r="D3" t="str">
        <f>TEXT(Table1[[#This Row],[Date]],"mmm")</f>
        <v>Jan</v>
      </c>
      <c r="E3">
        <v>1988</v>
      </c>
      <c r="F3">
        <v>22966</v>
      </c>
      <c r="G3">
        <f>Table1[[#This Row],[Algo]]+Table1[[#This Row],[Manual]]</f>
        <v>24954</v>
      </c>
      <c r="H3">
        <f>H2+Table1[[#This Row],[Total Gross P&amp;L]]</f>
        <v>43199</v>
      </c>
      <c r="I3">
        <f>WEEKNUM(Table1[[#This Row],[Date]])</f>
        <v>1</v>
      </c>
      <c r="J3">
        <f>IF(G3&gt;0,J2+1,0)</f>
        <v>2</v>
      </c>
      <c r="K3">
        <f>IF(G3&lt;0,K2+1,0)</f>
        <v>0</v>
      </c>
      <c r="N3" s="6">
        <f>AVERAGE(Table1[Algo])</f>
        <v>6246.4120000000003</v>
      </c>
      <c r="O3" s="6">
        <f>AVERAGE(Table1[Manual])</f>
        <v>8940.6080000000002</v>
      </c>
      <c r="P3" t="s">
        <v>31</v>
      </c>
      <c r="Q3">
        <f>MAX(Table1[loss st])</f>
        <v>3</v>
      </c>
    </row>
    <row r="4" spans="1:17" x14ac:dyDescent="0.3">
      <c r="A4">
        <v>3</v>
      </c>
      <c r="B4" s="1">
        <v>45660</v>
      </c>
      <c r="C4" t="s">
        <v>9</v>
      </c>
      <c r="D4" t="str">
        <f>TEXT(Table1[[#This Row],[Date]],"mmm")</f>
        <v>Jan</v>
      </c>
      <c r="E4">
        <v>13571</v>
      </c>
      <c r="F4">
        <v>20948</v>
      </c>
      <c r="G4">
        <f>Table1[[#This Row],[Algo]]+Table1[[#This Row],[Manual]]</f>
        <v>34519</v>
      </c>
      <c r="H4">
        <f>H3+Table1[[#This Row],[Total Gross P&amp;L]]</f>
        <v>77718</v>
      </c>
      <c r="I4">
        <f>WEEKNUM(Table1[[#This Row],[Date]])</f>
        <v>1</v>
      </c>
      <c r="J4">
        <f t="shared" ref="J4:J67" si="2">IF(G4&gt;0,J3+1,0)</f>
        <v>3</v>
      </c>
      <c r="K4">
        <f>IF(G4&lt;0,K3+1,0)</f>
        <v>0</v>
      </c>
      <c r="N4" s="6">
        <f>AVERAGEIF(Table1[Algo],"&gt;0")</f>
        <v>16054.259493670887</v>
      </c>
      <c r="O4" s="6">
        <f>AVERAGEIF(Table1[Manual],"&gt;0")</f>
        <v>17075.011764705883</v>
      </c>
    </row>
    <row r="5" spans="1:17" x14ac:dyDescent="0.3">
      <c r="A5">
        <v>4</v>
      </c>
      <c r="B5" s="1">
        <v>45663</v>
      </c>
      <c r="C5" t="s">
        <v>10</v>
      </c>
      <c r="D5" t="str">
        <f>TEXT(Table1[[#This Row],[Date]],"mmm")</f>
        <v>Jan</v>
      </c>
      <c r="E5">
        <v>-445</v>
      </c>
      <c r="F5">
        <v>28881</v>
      </c>
      <c r="G5">
        <f>Table1[[#This Row],[Algo]]+Table1[[#This Row],[Manual]]</f>
        <v>28436</v>
      </c>
      <c r="H5">
        <f>H4+Table1[[#This Row],[Total Gross P&amp;L]]</f>
        <v>106154</v>
      </c>
      <c r="I5">
        <f>WEEKNUM(Table1[[#This Row],[Date]])</f>
        <v>2</v>
      </c>
      <c r="J5">
        <f t="shared" si="2"/>
        <v>4</v>
      </c>
      <c r="K5">
        <f t="shared" ref="K5:K68" si="3">IF(G5&lt;0,K4+1,0)</f>
        <v>0</v>
      </c>
      <c r="N5" s="6">
        <f>AVERAGEIF(Table1[Algo],"&lt;0")</f>
        <v>-10597.5</v>
      </c>
      <c r="O5" s="6">
        <f>AVERAGEIF(Table1[Manual],"&lt;0")</f>
        <v>-8345</v>
      </c>
    </row>
    <row r="6" spans="1:17" x14ac:dyDescent="0.3">
      <c r="A6">
        <v>5</v>
      </c>
      <c r="B6" s="1">
        <v>45664</v>
      </c>
      <c r="C6" t="s">
        <v>11</v>
      </c>
      <c r="D6" t="str">
        <f>TEXT(Table1[[#This Row],[Date]],"mmm")</f>
        <v>Jan</v>
      </c>
      <c r="E6">
        <v>-19071</v>
      </c>
      <c r="F6">
        <v>-385</v>
      </c>
      <c r="G6">
        <f>Table1[[#This Row],[Algo]]+Table1[[#This Row],[Manual]]</f>
        <v>-19456</v>
      </c>
      <c r="H6">
        <f>H5+Table1[[#This Row],[Total Gross P&amp;L]]</f>
        <v>86698</v>
      </c>
      <c r="I6">
        <f>WEEKNUM(Table1[[#This Row],[Date]])</f>
        <v>2</v>
      </c>
      <c r="J6">
        <f t="shared" si="2"/>
        <v>0</v>
      </c>
      <c r="K6">
        <f t="shared" si="3"/>
        <v>1</v>
      </c>
      <c r="N6" s="5">
        <f>COUNTIF(Table1[Algo],"&gt;0")/COUNTA(Table1[Algo])</f>
        <v>0.63200000000000001</v>
      </c>
      <c r="O6" s="5">
        <f>COUNTIF(Table1[Manual],"&gt;0")/COUNTA(Table1[Manual])</f>
        <v>0.68</v>
      </c>
    </row>
    <row r="7" spans="1:17" x14ac:dyDescent="0.3">
      <c r="A7">
        <v>6</v>
      </c>
      <c r="B7" s="1">
        <v>45665</v>
      </c>
      <c r="C7" t="s">
        <v>7</v>
      </c>
      <c r="D7" t="str">
        <f>TEXT(Table1[[#This Row],[Date]],"mmm")</f>
        <v>Jan</v>
      </c>
      <c r="E7">
        <v>30214</v>
      </c>
      <c r="F7">
        <v>26001</v>
      </c>
      <c r="G7">
        <f>Table1[[#This Row],[Algo]]+Table1[[#This Row],[Manual]]</f>
        <v>56215</v>
      </c>
      <c r="H7">
        <f>H6+Table1[[#This Row],[Total Gross P&amp;L]]</f>
        <v>142913</v>
      </c>
      <c r="I7">
        <f>WEEKNUM(Table1[[#This Row],[Date]])</f>
        <v>2</v>
      </c>
      <c r="J7">
        <f t="shared" si="2"/>
        <v>1</v>
      </c>
      <c r="K7">
        <f t="shared" si="3"/>
        <v>0</v>
      </c>
      <c r="N7" s="9">
        <f>N4/ABS(N5)</f>
        <v>1.5149100725332283</v>
      </c>
      <c r="O7" s="9">
        <f>O4/ABS(O5)</f>
        <v>2.046136820216403</v>
      </c>
    </row>
    <row r="8" spans="1:17" x14ac:dyDescent="0.3">
      <c r="A8">
        <v>7</v>
      </c>
      <c r="B8" s="1">
        <v>45666</v>
      </c>
      <c r="C8" t="s">
        <v>8</v>
      </c>
      <c r="D8" t="str">
        <f>TEXT(Table1[[#This Row],[Date]],"mmm")</f>
        <v>Jan</v>
      </c>
      <c r="E8">
        <v>32793</v>
      </c>
      <c r="F8">
        <v>17517</v>
      </c>
      <c r="G8">
        <f>Table1[[#This Row],[Algo]]+Table1[[#This Row],[Manual]]</f>
        <v>50310</v>
      </c>
      <c r="H8">
        <f>H7+Table1[[#This Row],[Total Gross P&amp;L]]</f>
        <v>193223</v>
      </c>
      <c r="I8">
        <f>WEEKNUM(Table1[[#This Row],[Date]])</f>
        <v>2</v>
      </c>
      <c r="J8">
        <f t="shared" si="2"/>
        <v>2</v>
      </c>
      <c r="K8">
        <f t="shared" si="3"/>
        <v>0</v>
      </c>
      <c r="M8" t="s">
        <v>27</v>
      </c>
      <c r="N8" s="9">
        <f>N6*N7-(1-N6)</f>
        <v>0.5894231658410003</v>
      </c>
      <c r="O8" s="9">
        <f>O6*O7-(1-O6)</f>
        <v>1.0713730377471542</v>
      </c>
    </row>
    <row r="9" spans="1:17" x14ac:dyDescent="0.3">
      <c r="A9">
        <v>8</v>
      </c>
      <c r="B9" s="1">
        <v>45667</v>
      </c>
      <c r="C9" t="s">
        <v>9</v>
      </c>
      <c r="D9" t="str">
        <f>TEXT(Table1[[#This Row],[Date]],"mmm")</f>
        <v>Jan</v>
      </c>
      <c r="E9">
        <v>23817</v>
      </c>
      <c r="F9">
        <v>589</v>
      </c>
      <c r="G9">
        <f>Table1[[#This Row],[Algo]]+Table1[[#This Row],[Manual]]</f>
        <v>24406</v>
      </c>
      <c r="H9">
        <f>H8+Table1[[#This Row],[Total Gross P&amp;L]]</f>
        <v>217629</v>
      </c>
      <c r="I9">
        <f>WEEKNUM(Table1[[#This Row],[Date]])</f>
        <v>2</v>
      </c>
      <c r="J9">
        <f t="shared" si="2"/>
        <v>3</v>
      </c>
      <c r="K9">
        <f t="shared" si="3"/>
        <v>0</v>
      </c>
    </row>
    <row r="10" spans="1:17" x14ac:dyDescent="0.3">
      <c r="A10">
        <v>9</v>
      </c>
      <c r="B10" s="1">
        <v>45670</v>
      </c>
      <c r="C10" t="s">
        <v>10</v>
      </c>
      <c r="D10" t="str">
        <f>TEXT(Table1[[#This Row],[Date]],"mmm")</f>
        <v>Jan</v>
      </c>
      <c r="E10">
        <v>-12576</v>
      </c>
      <c r="F10">
        <v>21314</v>
      </c>
      <c r="G10">
        <f>Table1[[#This Row],[Algo]]+Table1[[#This Row],[Manual]]</f>
        <v>8738</v>
      </c>
      <c r="H10">
        <f>H9+Table1[[#This Row],[Total Gross P&amp;L]]</f>
        <v>226367</v>
      </c>
      <c r="I10">
        <f>WEEKNUM(Table1[[#This Row],[Date]])</f>
        <v>3</v>
      </c>
      <c r="J10">
        <f t="shared" si="2"/>
        <v>4</v>
      </c>
      <c r="K10">
        <f t="shared" si="3"/>
        <v>0</v>
      </c>
    </row>
    <row r="11" spans="1:17" x14ac:dyDescent="0.3">
      <c r="A11">
        <v>10</v>
      </c>
      <c r="B11" s="1">
        <v>45671</v>
      </c>
      <c r="C11" t="s">
        <v>11</v>
      </c>
      <c r="D11" t="str">
        <f>TEXT(Table1[[#This Row],[Date]],"mmm")</f>
        <v>Jan</v>
      </c>
      <c r="E11">
        <v>24978</v>
      </c>
      <c r="F11">
        <v>16381</v>
      </c>
      <c r="G11">
        <f>Table1[[#This Row],[Algo]]+Table1[[#This Row],[Manual]]</f>
        <v>41359</v>
      </c>
      <c r="H11">
        <f>H10+Table1[[#This Row],[Total Gross P&amp;L]]</f>
        <v>267726</v>
      </c>
      <c r="I11">
        <f>WEEKNUM(Table1[[#This Row],[Date]])</f>
        <v>3</v>
      </c>
      <c r="J11">
        <f t="shared" si="2"/>
        <v>5</v>
      </c>
      <c r="K11">
        <f t="shared" si="3"/>
        <v>0</v>
      </c>
    </row>
    <row r="12" spans="1:17" x14ac:dyDescent="0.3">
      <c r="A12">
        <v>11</v>
      </c>
      <c r="B12" s="1">
        <v>45672</v>
      </c>
      <c r="C12" t="s">
        <v>7</v>
      </c>
      <c r="D12" t="str">
        <f>TEXT(Table1[[#This Row],[Date]],"mmm")</f>
        <v>Jan</v>
      </c>
      <c r="E12">
        <v>26517</v>
      </c>
      <c r="F12">
        <v>-15665</v>
      </c>
      <c r="G12">
        <f>Table1[[#This Row],[Algo]]+Table1[[#This Row],[Manual]]</f>
        <v>10852</v>
      </c>
      <c r="H12">
        <f>H11+Table1[[#This Row],[Total Gross P&amp;L]]</f>
        <v>278578</v>
      </c>
      <c r="I12">
        <f>WEEKNUM(Table1[[#This Row],[Date]])</f>
        <v>3</v>
      </c>
      <c r="J12">
        <f t="shared" si="2"/>
        <v>6</v>
      </c>
      <c r="K12">
        <f t="shared" si="3"/>
        <v>0</v>
      </c>
    </row>
    <row r="13" spans="1:17" x14ac:dyDescent="0.3">
      <c r="A13">
        <v>12</v>
      </c>
      <c r="B13" s="1">
        <v>45673</v>
      </c>
      <c r="C13" t="s">
        <v>8</v>
      </c>
      <c r="D13" t="str">
        <f>TEXT(Table1[[#This Row],[Date]],"mmm")</f>
        <v>Jan</v>
      </c>
      <c r="E13">
        <v>-1811</v>
      </c>
      <c r="F13">
        <v>2039</v>
      </c>
      <c r="G13">
        <f>Table1[[#This Row],[Algo]]+Table1[[#This Row],[Manual]]</f>
        <v>228</v>
      </c>
      <c r="H13">
        <f>H12+Table1[[#This Row],[Total Gross P&amp;L]]</f>
        <v>278806</v>
      </c>
      <c r="I13">
        <f>WEEKNUM(Table1[[#This Row],[Date]])</f>
        <v>3</v>
      </c>
      <c r="J13">
        <f t="shared" si="2"/>
        <v>7</v>
      </c>
      <c r="K13">
        <f t="shared" si="3"/>
        <v>0</v>
      </c>
    </row>
    <row r="14" spans="1:17" x14ac:dyDescent="0.3">
      <c r="A14">
        <v>13</v>
      </c>
      <c r="B14" s="1">
        <v>45674</v>
      </c>
      <c r="C14" t="s">
        <v>9</v>
      </c>
      <c r="D14" t="str">
        <f>TEXT(Table1[[#This Row],[Date]],"mmm")</f>
        <v>Jan</v>
      </c>
      <c r="E14">
        <v>15981</v>
      </c>
      <c r="F14">
        <v>28442</v>
      </c>
      <c r="G14">
        <f>Table1[[#This Row],[Algo]]+Table1[[#This Row],[Manual]]</f>
        <v>44423</v>
      </c>
      <c r="H14">
        <f>H13+Table1[[#This Row],[Total Gross P&amp;L]]</f>
        <v>323229</v>
      </c>
      <c r="I14">
        <f>WEEKNUM(Table1[[#This Row],[Date]])</f>
        <v>3</v>
      </c>
      <c r="J14">
        <f t="shared" si="2"/>
        <v>8</v>
      </c>
      <c r="K14">
        <f t="shared" si="3"/>
        <v>0</v>
      </c>
    </row>
    <row r="15" spans="1:17" x14ac:dyDescent="0.3">
      <c r="A15">
        <v>14</v>
      </c>
      <c r="B15" s="1">
        <v>45677</v>
      </c>
      <c r="C15" t="s">
        <v>10</v>
      </c>
      <c r="D15" t="str">
        <f>TEXT(Table1[[#This Row],[Date]],"mmm")</f>
        <v>Jan</v>
      </c>
      <c r="E15">
        <v>-5122</v>
      </c>
      <c r="F15">
        <v>-10848</v>
      </c>
      <c r="G15">
        <f>Table1[[#This Row],[Algo]]+Table1[[#This Row],[Manual]]</f>
        <v>-15970</v>
      </c>
      <c r="H15">
        <f>H14+Table1[[#This Row],[Total Gross P&amp;L]]</f>
        <v>307259</v>
      </c>
      <c r="I15">
        <f>WEEKNUM(Table1[[#This Row],[Date]])</f>
        <v>4</v>
      </c>
      <c r="J15">
        <f t="shared" si="2"/>
        <v>0</v>
      </c>
      <c r="K15">
        <f t="shared" si="3"/>
        <v>1</v>
      </c>
    </row>
    <row r="16" spans="1:17" x14ac:dyDescent="0.3">
      <c r="A16">
        <v>15</v>
      </c>
      <c r="B16" s="1">
        <v>45678</v>
      </c>
      <c r="C16" t="s">
        <v>11</v>
      </c>
      <c r="D16" t="str">
        <f>TEXT(Table1[[#This Row],[Date]],"mmm")</f>
        <v>Jan</v>
      </c>
      <c r="E16">
        <v>284</v>
      </c>
      <c r="F16">
        <v>34483</v>
      </c>
      <c r="G16">
        <f>Table1[[#This Row],[Algo]]+Table1[[#This Row],[Manual]]</f>
        <v>34767</v>
      </c>
      <c r="H16">
        <f>H15+Table1[[#This Row],[Total Gross P&amp;L]]</f>
        <v>342026</v>
      </c>
      <c r="I16">
        <f>WEEKNUM(Table1[[#This Row],[Date]])</f>
        <v>4</v>
      </c>
      <c r="J16">
        <f t="shared" si="2"/>
        <v>1</v>
      </c>
      <c r="K16">
        <f t="shared" si="3"/>
        <v>0</v>
      </c>
    </row>
    <row r="17" spans="1:11" x14ac:dyDescent="0.3">
      <c r="A17">
        <v>16</v>
      </c>
      <c r="B17" s="1">
        <v>45679</v>
      </c>
      <c r="C17" t="s">
        <v>7</v>
      </c>
      <c r="D17" t="str">
        <f>TEXT(Table1[[#This Row],[Date]],"mmm")</f>
        <v>Jan</v>
      </c>
      <c r="E17">
        <v>-19554</v>
      </c>
      <c r="F17">
        <v>656</v>
      </c>
      <c r="G17">
        <f>Table1[[#This Row],[Algo]]+Table1[[#This Row],[Manual]]</f>
        <v>-18898</v>
      </c>
      <c r="H17">
        <f>H16+Table1[[#This Row],[Total Gross P&amp;L]]</f>
        <v>323128</v>
      </c>
      <c r="I17">
        <f>WEEKNUM(Table1[[#This Row],[Date]])</f>
        <v>4</v>
      </c>
      <c r="J17">
        <f t="shared" si="2"/>
        <v>0</v>
      </c>
      <c r="K17">
        <f t="shared" si="3"/>
        <v>1</v>
      </c>
    </row>
    <row r="18" spans="1:11" x14ac:dyDescent="0.3">
      <c r="A18">
        <v>17</v>
      </c>
      <c r="B18" s="1">
        <v>45680</v>
      </c>
      <c r="C18" t="s">
        <v>8</v>
      </c>
      <c r="D18" t="str">
        <f>TEXT(Table1[[#This Row],[Date]],"mmm")</f>
        <v>Jan</v>
      </c>
      <c r="E18">
        <v>-14087</v>
      </c>
      <c r="F18">
        <v>-10640</v>
      </c>
      <c r="G18">
        <f>Table1[[#This Row],[Algo]]+Table1[[#This Row],[Manual]]</f>
        <v>-24727</v>
      </c>
      <c r="H18">
        <f>H17+Table1[[#This Row],[Total Gross P&amp;L]]</f>
        <v>298401</v>
      </c>
      <c r="I18">
        <f>WEEKNUM(Table1[[#This Row],[Date]])</f>
        <v>4</v>
      </c>
      <c r="J18">
        <f t="shared" si="2"/>
        <v>0</v>
      </c>
      <c r="K18">
        <f t="shared" si="3"/>
        <v>2</v>
      </c>
    </row>
    <row r="19" spans="1:11" x14ac:dyDescent="0.3">
      <c r="A19">
        <v>18</v>
      </c>
      <c r="B19" s="1">
        <v>45681</v>
      </c>
      <c r="C19" t="s">
        <v>9</v>
      </c>
      <c r="D19" t="str">
        <f>TEXT(Table1[[#This Row],[Date]],"mmm")</f>
        <v>Jan</v>
      </c>
      <c r="E19">
        <v>19559</v>
      </c>
      <c r="F19">
        <v>-10992</v>
      </c>
      <c r="G19">
        <f>Table1[[#This Row],[Algo]]+Table1[[#This Row],[Manual]]</f>
        <v>8567</v>
      </c>
      <c r="H19">
        <f>H18+Table1[[#This Row],[Total Gross P&amp;L]]</f>
        <v>306968</v>
      </c>
      <c r="I19">
        <f>WEEKNUM(Table1[[#This Row],[Date]])</f>
        <v>4</v>
      </c>
      <c r="J19">
        <f t="shared" si="2"/>
        <v>1</v>
      </c>
      <c r="K19">
        <f t="shared" si="3"/>
        <v>0</v>
      </c>
    </row>
    <row r="20" spans="1:11" x14ac:dyDescent="0.3">
      <c r="A20">
        <v>19</v>
      </c>
      <c r="B20" s="1">
        <v>45684</v>
      </c>
      <c r="C20" t="s">
        <v>10</v>
      </c>
      <c r="D20" t="str">
        <f>TEXT(Table1[[#This Row],[Date]],"mmm")</f>
        <v>Jan</v>
      </c>
      <c r="E20">
        <v>25121</v>
      </c>
      <c r="F20">
        <v>-13644</v>
      </c>
      <c r="G20">
        <f>Table1[[#This Row],[Algo]]+Table1[[#This Row],[Manual]]</f>
        <v>11477</v>
      </c>
      <c r="H20">
        <f>H19+Table1[[#This Row],[Total Gross P&amp;L]]</f>
        <v>318445</v>
      </c>
      <c r="I20">
        <f>WEEKNUM(Table1[[#This Row],[Date]])</f>
        <v>5</v>
      </c>
      <c r="J20">
        <f t="shared" si="2"/>
        <v>2</v>
      </c>
      <c r="K20">
        <f t="shared" si="3"/>
        <v>0</v>
      </c>
    </row>
    <row r="21" spans="1:11" x14ac:dyDescent="0.3">
      <c r="A21">
        <v>20</v>
      </c>
      <c r="B21" s="1">
        <v>45685</v>
      </c>
      <c r="C21" t="s">
        <v>11</v>
      </c>
      <c r="D21" t="str">
        <f>TEXT(Table1[[#This Row],[Date]],"mmm")</f>
        <v>Jan</v>
      </c>
      <c r="E21">
        <v>31936</v>
      </c>
      <c r="F21">
        <v>26960</v>
      </c>
      <c r="G21">
        <f>Table1[[#This Row],[Algo]]+Table1[[#This Row],[Manual]]</f>
        <v>58896</v>
      </c>
      <c r="H21">
        <f>H20+Table1[[#This Row],[Total Gross P&amp;L]]</f>
        <v>377341</v>
      </c>
      <c r="I21">
        <f>WEEKNUM(Table1[[#This Row],[Date]])</f>
        <v>5</v>
      </c>
      <c r="J21">
        <f t="shared" si="2"/>
        <v>3</v>
      </c>
      <c r="K21">
        <f t="shared" si="3"/>
        <v>0</v>
      </c>
    </row>
    <row r="22" spans="1:11" x14ac:dyDescent="0.3">
      <c r="A22">
        <v>21</v>
      </c>
      <c r="B22" s="1">
        <v>45686</v>
      </c>
      <c r="C22" t="s">
        <v>7</v>
      </c>
      <c r="D22" t="str">
        <f>TEXT(Table1[[#This Row],[Date]],"mmm")</f>
        <v>Jan</v>
      </c>
      <c r="E22">
        <v>7945</v>
      </c>
      <c r="F22">
        <v>-4866</v>
      </c>
      <c r="G22">
        <f>Table1[[#This Row],[Algo]]+Table1[[#This Row],[Manual]]</f>
        <v>3079</v>
      </c>
      <c r="H22">
        <f>H21+Table1[[#This Row],[Total Gross P&amp;L]]</f>
        <v>380420</v>
      </c>
      <c r="I22">
        <f>WEEKNUM(Table1[[#This Row],[Date]])</f>
        <v>5</v>
      </c>
      <c r="J22">
        <f t="shared" si="2"/>
        <v>4</v>
      </c>
      <c r="K22">
        <f t="shared" si="3"/>
        <v>0</v>
      </c>
    </row>
    <row r="23" spans="1:11" x14ac:dyDescent="0.3">
      <c r="A23">
        <v>22</v>
      </c>
      <c r="B23" s="1">
        <v>45687</v>
      </c>
      <c r="C23" t="s">
        <v>8</v>
      </c>
      <c r="D23" t="str">
        <f>TEXT(Table1[[#This Row],[Date]],"mmm")</f>
        <v>Jan</v>
      </c>
      <c r="E23">
        <v>-4405</v>
      </c>
      <c r="F23">
        <v>1425</v>
      </c>
      <c r="G23">
        <f>Table1[[#This Row],[Algo]]+Table1[[#This Row],[Manual]]</f>
        <v>-2980</v>
      </c>
      <c r="H23">
        <f>H22+Table1[[#This Row],[Total Gross P&amp;L]]</f>
        <v>377440</v>
      </c>
      <c r="I23">
        <f>WEEKNUM(Table1[[#This Row],[Date]])</f>
        <v>5</v>
      </c>
      <c r="J23">
        <f t="shared" si="2"/>
        <v>0</v>
      </c>
      <c r="K23">
        <f t="shared" si="3"/>
        <v>1</v>
      </c>
    </row>
    <row r="24" spans="1:11" x14ac:dyDescent="0.3">
      <c r="A24">
        <v>23</v>
      </c>
      <c r="B24" s="1">
        <v>45688</v>
      </c>
      <c r="C24" t="s">
        <v>9</v>
      </c>
      <c r="D24" t="str">
        <f>TEXT(Table1[[#This Row],[Date]],"mmm")</f>
        <v>Jan</v>
      </c>
      <c r="E24">
        <v>-4705</v>
      </c>
      <c r="F24">
        <v>-2666</v>
      </c>
      <c r="G24">
        <f>Table1[[#This Row],[Algo]]+Table1[[#This Row],[Manual]]</f>
        <v>-7371</v>
      </c>
      <c r="H24">
        <f>H23+Table1[[#This Row],[Total Gross P&amp;L]]</f>
        <v>370069</v>
      </c>
      <c r="I24">
        <f>WEEKNUM(Table1[[#This Row],[Date]])</f>
        <v>5</v>
      </c>
      <c r="J24">
        <f t="shared" si="2"/>
        <v>0</v>
      </c>
      <c r="K24">
        <f t="shared" si="3"/>
        <v>2</v>
      </c>
    </row>
    <row r="25" spans="1:11" x14ac:dyDescent="0.3">
      <c r="A25">
        <v>24</v>
      </c>
      <c r="B25" s="1">
        <v>45691</v>
      </c>
      <c r="C25" t="s">
        <v>10</v>
      </c>
      <c r="D25" t="str">
        <f>TEXT(Table1[[#This Row],[Date]],"mmm")</f>
        <v>Feb</v>
      </c>
      <c r="E25">
        <v>-11751</v>
      </c>
      <c r="F25">
        <v>782</v>
      </c>
      <c r="G25">
        <f>Table1[[#This Row],[Algo]]+Table1[[#This Row],[Manual]]</f>
        <v>-10969</v>
      </c>
      <c r="H25">
        <f>H24+Table1[[#This Row],[Total Gross P&amp;L]]</f>
        <v>359100</v>
      </c>
      <c r="I25">
        <f>WEEKNUM(Table1[[#This Row],[Date]])</f>
        <v>6</v>
      </c>
      <c r="J25">
        <f t="shared" si="2"/>
        <v>0</v>
      </c>
      <c r="K25">
        <f t="shared" si="3"/>
        <v>3</v>
      </c>
    </row>
    <row r="26" spans="1:11" x14ac:dyDescent="0.3">
      <c r="A26">
        <v>25</v>
      </c>
      <c r="B26" s="1">
        <v>45692</v>
      </c>
      <c r="C26" t="s">
        <v>11</v>
      </c>
      <c r="D26" t="str">
        <f>TEXT(Table1[[#This Row],[Date]],"mmm")</f>
        <v>Feb</v>
      </c>
      <c r="E26">
        <v>-12001</v>
      </c>
      <c r="F26">
        <v>16073</v>
      </c>
      <c r="G26">
        <f>Table1[[#This Row],[Algo]]+Table1[[#This Row],[Manual]]</f>
        <v>4072</v>
      </c>
      <c r="H26">
        <f>H25+Table1[[#This Row],[Total Gross P&amp;L]]</f>
        <v>363172</v>
      </c>
      <c r="I26">
        <f>WEEKNUM(Table1[[#This Row],[Date]])</f>
        <v>6</v>
      </c>
      <c r="J26">
        <f t="shared" si="2"/>
        <v>1</v>
      </c>
      <c r="K26">
        <f t="shared" si="3"/>
        <v>0</v>
      </c>
    </row>
    <row r="27" spans="1:11" x14ac:dyDescent="0.3">
      <c r="A27">
        <v>26</v>
      </c>
      <c r="B27" s="1">
        <v>45693</v>
      </c>
      <c r="C27" t="s">
        <v>7</v>
      </c>
      <c r="D27" t="str">
        <f>TEXT(Table1[[#This Row],[Date]],"mmm")</f>
        <v>Feb</v>
      </c>
      <c r="E27">
        <v>12584</v>
      </c>
      <c r="F27">
        <v>22610</v>
      </c>
      <c r="G27">
        <f>Table1[[#This Row],[Algo]]+Table1[[#This Row],[Manual]]</f>
        <v>35194</v>
      </c>
      <c r="H27">
        <f>H26+Table1[[#This Row],[Total Gross P&amp;L]]</f>
        <v>398366</v>
      </c>
      <c r="I27">
        <f>WEEKNUM(Table1[[#This Row],[Date]])</f>
        <v>6</v>
      </c>
      <c r="J27">
        <f t="shared" si="2"/>
        <v>2</v>
      </c>
      <c r="K27">
        <f t="shared" si="3"/>
        <v>0</v>
      </c>
    </row>
    <row r="28" spans="1:11" x14ac:dyDescent="0.3">
      <c r="A28">
        <v>27</v>
      </c>
      <c r="B28" s="1">
        <v>45694</v>
      </c>
      <c r="C28" t="s">
        <v>8</v>
      </c>
      <c r="D28" t="str">
        <f>TEXT(Table1[[#This Row],[Date]],"mmm")</f>
        <v>Feb</v>
      </c>
      <c r="E28">
        <v>8602</v>
      </c>
      <c r="F28">
        <v>-9066</v>
      </c>
      <c r="G28">
        <f>Table1[[#This Row],[Algo]]+Table1[[#This Row],[Manual]]</f>
        <v>-464</v>
      </c>
      <c r="H28">
        <f>H27+Table1[[#This Row],[Total Gross P&amp;L]]</f>
        <v>397902</v>
      </c>
      <c r="I28">
        <f>WEEKNUM(Table1[[#This Row],[Date]])</f>
        <v>6</v>
      </c>
      <c r="J28">
        <f t="shared" si="2"/>
        <v>0</v>
      </c>
      <c r="K28">
        <f t="shared" si="3"/>
        <v>1</v>
      </c>
    </row>
    <row r="29" spans="1:11" x14ac:dyDescent="0.3">
      <c r="A29">
        <v>28</v>
      </c>
      <c r="B29" s="1">
        <v>45695</v>
      </c>
      <c r="C29" t="s">
        <v>9</v>
      </c>
      <c r="D29" t="str">
        <f>TEXT(Table1[[#This Row],[Date]],"mmm")</f>
        <v>Feb</v>
      </c>
      <c r="E29">
        <v>-12670</v>
      </c>
      <c r="F29">
        <v>33830</v>
      </c>
      <c r="G29">
        <f>Table1[[#This Row],[Algo]]+Table1[[#This Row],[Manual]]</f>
        <v>21160</v>
      </c>
      <c r="H29">
        <f>H28+Table1[[#This Row],[Total Gross P&amp;L]]</f>
        <v>419062</v>
      </c>
      <c r="I29">
        <f>WEEKNUM(Table1[[#This Row],[Date]])</f>
        <v>6</v>
      </c>
      <c r="J29">
        <f t="shared" si="2"/>
        <v>1</v>
      </c>
      <c r="K29">
        <f t="shared" si="3"/>
        <v>0</v>
      </c>
    </row>
    <row r="30" spans="1:11" x14ac:dyDescent="0.3">
      <c r="A30">
        <v>29</v>
      </c>
      <c r="B30" s="1">
        <v>45698</v>
      </c>
      <c r="C30" t="s">
        <v>10</v>
      </c>
      <c r="D30" t="str">
        <f>TEXT(Table1[[#This Row],[Date]],"mmm")</f>
        <v>Feb</v>
      </c>
      <c r="E30">
        <v>-2940</v>
      </c>
      <c r="F30">
        <v>23829</v>
      </c>
      <c r="G30">
        <f>Table1[[#This Row],[Algo]]+Table1[[#This Row],[Manual]]</f>
        <v>20889</v>
      </c>
      <c r="H30">
        <f>H29+Table1[[#This Row],[Total Gross P&amp;L]]</f>
        <v>439951</v>
      </c>
      <c r="I30">
        <f>WEEKNUM(Table1[[#This Row],[Date]])</f>
        <v>7</v>
      </c>
      <c r="J30">
        <f t="shared" si="2"/>
        <v>2</v>
      </c>
      <c r="K30">
        <f t="shared" si="3"/>
        <v>0</v>
      </c>
    </row>
    <row r="31" spans="1:11" x14ac:dyDescent="0.3">
      <c r="A31">
        <v>30</v>
      </c>
      <c r="B31" s="1">
        <v>45699</v>
      </c>
      <c r="C31" t="s">
        <v>11</v>
      </c>
      <c r="D31" t="str">
        <f>TEXT(Table1[[#This Row],[Date]],"mmm")</f>
        <v>Feb</v>
      </c>
      <c r="E31">
        <v>-18980</v>
      </c>
      <c r="F31">
        <v>-8266</v>
      </c>
      <c r="G31">
        <f>Table1[[#This Row],[Algo]]+Table1[[#This Row],[Manual]]</f>
        <v>-27246</v>
      </c>
      <c r="H31">
        <f>H30+Table1[[#This Row],[Total Gross P&amp;L]]</f>
        <v>412705</v>
      </c>
      <c r="I31">
        <f>WEEKNUM(Table1[[#This Row],[Date]])</f>
        <v>7</v>
      </c>
      <c r="J31">
        <f t="shared" si="2"/>
        <v>0</v>
      </c>
      <c r="K31">
        <f t="shared" si="3"/>
        <v>1</v>
      </c>
    </row>
    <row r="32" spans="1:11" x14ac:dyDescent="0.3">
      <c r="A32">
        <v>31</v>
      </c>
      <c r="B32" s="1">
        <v>45700</v>
      </c>
      <c r="C32" t="s">
        <v>7</v>
      </c>
      <c r="D32" t="str">
        <f>TEXT(Table1[[#This Row],[Date]],"mmm")</f>
        <v>Feb</v>
      </c>
      <c r="E32">
        <v>378</v>
      </c>
      <c r="F32">
        <v>-6022</v>
      </c>
      <c r="G32">
        <f>Table1[[#This Row],[Algo]]+Table1[[#This Row],[Manual]]</f>
        <v>-5644</v>
      </c>
      <c r="H32">
        <f>H31+Table1[[#This Row],[Total Gross P&amp;L]]</f>
        <v>407061</v>
      </c>
      <c r="I32">
        <f>WEEKNUM(Table1[[#This Row],[Date]])</f>
        <v>7</v>
      </c>
      <c r="J32">
        <f t="shared" si="2"/>
        <v>0</v>
      </c>
      <c r="K32">
        <f t="shared" si="3"/>
        <v>2</v>
      </c>
    </row>
    <row r="33" spans="1:11" x14ac:dyDescent="0.3">
      <c r="A33">
        <v>32</v>
      </c>
      <c r="B33" s="1">
        <v>45701</v>
      </c>
      <c r="C33" t="s">
        <v>8</v>
      </c>
      <c r="D33" t="str">
        <f>TEXT(Table1[[#This Row],[Date]],"mmm")</f>
        <v>Feb</v>
      </c>
      <c r="E33">
        <v>25325</v>
      </c>
      <c r="F33">
        <v>16462</v>
      </c>
      <c r="G33">
        <f>Table1[[#This Row],[Algo]]+Table1[[#This Row],[Manual]]</f>
        <v>41787</v>
      </c>
      <c r="H33">
        <f>H32+Table1[[#This Row],[Total Gross P&amp;L]]</f>
        <v>448848</v>
      </c>
      <c r="I33">
        <f>WEEKNUM(Table1[[#This Row],[Date]])</f>
        <v>7</v>
      </c>
      <c r="J33">
        <f t="shared" si="2"/>
        <v>1</v>
      </c>
      <c r="K33">
        <f t="shared" si="3"/>
        <v>0</v>
      </c>
    </row>
    <row r="34" spans="1:11" x14ac:dyDescent="0.3">
      <c r="A34">
        <v>33</v>
      </c>
      <c r="B34" s="1">
        <v>45702</v>
      </c>
      <c r="C34" t="s">
        <v>9</v>
      </c>
      <c r="D34" t="str">
        <f>TEXT(Table1[[#This Row],[Date]],"mmm")</f>
        <v>Feb</v>
      </c>
      <c r="E34">
        <v>6923</v>
      </c>
      <c r="F34">
        <v>18640</v>
      </c>
      <c r="G34">
        <f>Table1[[#This Row],[Algo]]+Table1[[#This Row],[Manual]]</f>
        <v>25563</v>
      </c>
      <c r="H34">
        <f>H33+Table1[[#This Row],[Total Gross P&amp;L]]</f>
        <v>474411</v>
      </c>
      <c r="I34">
        <f>WEEKNUM(Table1[[#This Row],[Date]])</f>
        <v>7</v>
      </c>
      <c r="J34">
        <f t="shared" si="2"/>
        <v>2</v>
      </c>
      <c r="K34">
        <f t="shared" si="3"/>
        <v>0</v>
      </c>
    </row>
    <row r="35" spans="1:11" x14ac:dyDescent="0.3">
      <c r="A35">
        <v>34</v>
      </c>
      <c r="B35" s="1">
        <v>45705</v>
      </c>
      <c r="C35" t="s">
        <v>10</v>
      </c>
      <c r="D35" t="str">
        <f>TEXT(Table1[[#This Row],[Date]],"mmm")</f>
        <v>Feb</v>
      </c>
      <c r="E35">
        <v>9088</v>
      </c>
      <c r="F35">
        <v>23073</v>
      </c>
      <c r="G35">
        <f>Table1[[#This Row],[Algo]]+Table1[[#This Row],[Manual]]</f>
        <v>32161</v>
      </c>
      <c r="H35">
        <f>H34+Table1[[#This Row],[Total Gross P&amp;L]]</f>
        <v>506572</v>
      </c>
      <c r="I35">
        <f>WEEKNUM(Table1[[#This Row],[Date]])</f>
        <v>8</v>
      </c>
      <c r="J35">
        <f t="shared" si="2"/>
        <v>3</v>
      </c>
      <c r="K35">
        <f t="shared" si="3"/>
        <v>0</v>
      </c>
    </row>
    <row r="36" spans="1:11" x14ac:dyDescent="0.3">
      <c r="A36">
        <v>35</v>
      </c>
      <c r="B36" s="1">
        <v>45706</v>
      </c>
      <c r="C36" t="s">
        <v>11</v>
      </c>
      <c r="D36" t="str">
        <f>TEXT(Table1[[#This Row],[Date]],"mmm")</f>
        <v>Feb</v>
      </c>
      <c r="E36">
        <v>31201</v>
      </c>
      <c r="F36">
        <v>24827</v>
      </c>
      <c r="G36">
        <f>Table1[[#This Row],[Algo]]+Table1[[#This Row],[Manual]]</f>
        <v>56028</v>
      </c>
      <c r="H36">
        <f>H35+Table1[[#This Row],[Total Gross P&amp;L]]</f>
        <v>562600</v>
      </c>
      <c r="I36">
        <f>WEEKNUM(Table1[[#This Row],[Date]])</f>
        <v>8</v>
      </c>
      <c r="J36">
        <f t="shared" si="2"/>
        <v>4</v>
      </c>
      <c r="K36">
        <f t="shared" si="3"/>
        <v>0</v>
      </c>
    </row>
    <row r="37" spans="1:11" x14ac:dyDescent="0.3">
      <c r="A37">
        <v>36</v>
      </c>
      <c r="B37" s="1">
        <v>45707</v>
      </c>
      <c r="C37" t="s">
        <v>7</v>
      </c>
      <c r="D37" t="str">
        <f>TEXT(Table1[[#This Row],[Date]],"mmm")</f>
        <v>Feb</v>
      </c>
      <c r="E37">
        <v>22722</v>
      </c>
      <c r="F37">
        <v>3090</v>
      </c>
      <c r="G37">
        <f>Table1[[#This Row],[Algo]]+Table1[[#This Row],[Manual]]</f>
        <v>25812</v>
      </c>
      <c r="H37">
        <f>H36+Table1[[#This Row],[Total Gross P&amp;L]]</f>
        <v>588412</v>
      </c>
      <c r="I37">
        <f>WEEKNUM(Table1[[#This Row],[Date]])</f>
        <v>8</v>
      </c>
      <c r="J37">
        <f t="shared" si="2"/>
        <v>5</v>
      </c>
      <c r="K37">
        <f t="shared" si="3"/>
        <v>0</v>
      </c>
    </row>
    <row r="38" spans="1:11" x14ac:dyDescent="0.3">
      <c r="A38">
        <v>37</v>
      </c>
      <c r="B38" s="1">
        <v>45708</v>
      </c>
      <c r="C38" t="s">
        <v>8</v>
      </c>
      <c r="D38" t="str">
        <f>TEXT(Table1[[#This Row],[Date]],"mmm")</f>
        <v>Feb</v>
      </c>
      <c r="E38">
        <v>-15389</v>
      </c>
      <c r="F38">
        <v>-2822</v>
      </c>
      <c r="G38">
        <f>Table1[[#This Row],[Algo]]+Table1[[#This Row],[Manual]]</f>
        <v>-18211</v>
      </c>
      <c r="H38">
        <f>H37+Table1[[#This Row],[Total Gross P&amp;L]]</f>
        <v>570201</v>
      </c>
      <c r="I38">
        <f>WEEKNUM(Table1[[#This Row],[Date]])</f>
        <v>8</v>
      </c>
      <c r="J38">
        <f t="shared" si="2"/>
        <v>0</v>
      </c>
      <c r="K38">
        <f t="shared" si="3"/>
        <v>1</v>
      </c>
    </row>
    <row r="39" spans="1:11" x14ac:dyDescent="0.3">
      <c r="A39">
        <v>38</v>
      </c>
      <c r="B39" s="1">
        <v>45709</v>
      </c>
      <c r="C39" t="s">
        <v>9</v>
      </c>
      <c r="D39" t="str">
        <f>TEXT(Table1[[#This Row],[Date]],"mmm")</f>
        <v>Feb</v>
      </c>
      <c r="E39">
        <v>-19060</v>
      </c>
      <c r="F39">
        <v>16805</v>
      </c>
      <c r="G39">
        <f>Table1[[#This Row],[Algo]]+Table1[[#This Row],[Manual]]</f>
        <v>-2255</v>
      </c>
      <c r="H39">
        <f>H38+Table1[[#This Row],[Total Gross P&amp;L]]</f>
        <v>567946</v>
      </c>
      <c r="I39">
        <f>WEEKNUM(Table1[[#This Row],[Date]])</f>
        <v>8</v>
      </c>
      <c r="J39">
        <f t="shared" si="2"/>
        <v>0</v>
      </c>
      <c r="K39">
        <f t="shared" si="3"/>
        <v>2</v>
      </c>
    </row>
    <row r="40" spans="1:11" x14ac:dyDescent="0.3">
      <c r="A40">
        <v>39</v>
      </c>
      <c r="B40" s="1">
        <v>45712</v>
      </c>
      <c r="C40" t="s">
        <v>10</v>
      </c>
      <c r="D40" t="str">
        <f>TEXT(Table1[[#This Row],[Date]],"mmm")</f>
        <v>Feb</v>
      </c>
      <c r="E40">
        <v>-6615</v>
      </c>
      <c r="F40">
        <v>-11311</v>
      </c>
      <c r="G40">
        <f>Table1[[#This Row],[Algo]]+Table1[[#This Row],[Manual]]</f>
        <v>-17926</v>
      </c>
      <c r="H40">
        <f>H39+Table1[[#This Row],[Total Gross P&amp;L]]</f>
        <v>550020</v>
      </c>
      <c r="I40">
        <f>WEEKNUM(Table1[[#This Row],[Date]])</f>
        <v>9</v>
      </c>
      <c r="J40">
        <f t="shared" si="2"/>
        <v>0</v>
      </c>
      <c r="K40">
        <f t="shared" si="3"/>
        <v>3</v>
      </c>
    </row>
    <row r="41" spans="1:11" x14ac:dyDescent="0.3">
      <c r="A41">
        <v>40</v>
      </c>
      <c r="B41" s="1">
        <v>45713</v>
      </c>
      <c r="C41" t="s">
        <v>11</v>
      </c>
      <c r="D41" t="str">
        <f>TEXT(Table1[[#This Row],[Date]],"mmm")</f>
        <v>Feb</v>
      </c>
      <c r="E41">
        <v>1870</v>
      </c>
      <c r="F41">
        <v>1364</v>
      </c>
      <c r="G41">
        <f>Table1[[#This Row],[Algo]]+Table1[[#This Row],[Manual]]</f>
        <v>3234</v>
      </c>
      <c r="H41">
        <f>H40+Table1[[#This Row],[Total Gross P&amp;L]]</f>
        <v>553254</v>
      </c>
      <c r="I41">
        <f>WEEKNUM(Table1[[#This Row],[Date]])</f>
        <v>9</v>
      </c>
      <c r="J41">
        <f t="shared" si="2"/>
        <v>1</v>
      </c>
      <c r="K41">
        <f t="shared" si="3"/>
        <v>0</v>
      </c>
    </row>
    <row r="42" spans="1:11" x14ac:dyDescent="0.3">
      <c r="A42">
        <v>41</v>
      </c>
      <c r="B42" s="1">
        <v>45714</v>
      </c>
      <c r="C42" t="s">
        <v>7</v>
      </c>
      <c r="D42" t="str">
        <f>TEXT(Table1[[#This Row],[Date]],"mmm")</f>
        <v>Feb</v>
      </c>
      <c r="E42">
        <v>15275</v>
      </c>
      <c r="F42">
        <v>-11410</v>
      </c>
      <c r="G42">
        <f>Table1[[#This Row],[Algo]]+Table1[[#This Row],[Manual]]</f>
        <v>3865</v>
      </c>
      <c r="H42">
        <f>H41+Table1[[#This Row],[Total Gross P&amp;L]]</f>
        <v>557119</v>
      </c>
      <c r="I42">
        <f>WEEKNUM(Table1[[#This Row],[Date]])</f>
        <v>9</v>
      </c>
      <c r="J42">
        <f t="shared" si="2"/>
        <v>2</v>
      </c>
      <c r="K42">
        <f t="shared" si="3"/>
        <v>0</v>
      </c>
    </row>
    <row r="43" spans="1:11" x14ac:dyDescent="0.3">
      <c r="A43">
        <v>42</v>
      </c>
      <c r="B43" s="1">
        <v>45715</v>
      </c>
      <c r="C43" t="s">
        <v>8</v>
      </c>
      <c r="D43" t="str">
        <f>TEXT(Table1[[#This Row],[Date]],"mmm")</f>
        <v>Feb</v>
      </c>
      <c r="E43">
        <v>-8023</v>
      </c>
      <c r="F43">
        <v>13045</v>
      </c>
      <c r="G43">
        <f>Table1[[#This Row],[Algo]]+Table1[[#This Row],[Manual]]</f>
        <v>5022</v>
      </c>
      <c r="H43">
        <f>H42+Table1[[#This Row],[Total Gross P&amp;L]]</f>
        <v>562141</v>
      </c>
      <c r="I43">
        <f>WEEKNUM(Table1[[#This Row],[Date]])</f>
        <v>9</v>
      </c>
      <c r="J43">
        <f t="shared" si="2"/>
        <v>3</v>
      </c>
      <c r="K43">
        <f t="shared" si="3"/>
        <v>0</v>
      </c>
    </row>
    <row r="44" spans="1:11" x14ac:dyDescent="0.3">
      <c r="A44">
        <v>43</v>
      </c>
      <c r="B44" s="1">
        <v>45716</v>
      </c>
      <c r="C44" t="s">
        <v>9</v>
      </c>
      <c r="D44" t="str">
        <f>TEXT(Table1[[#This Row],[Date]],"mmm")</f>
        <v>Feb</v>
      </c>
      <c r="E44">
        <v>-19150</v>
      </c>
      <c r="F44">
        <v>26738</v>
      </c>
      <c r="G44">
        <f>Table1[[#This Row],[Algo]]+Table1[[#This Row],[Manual]]</f>
        <v>7588</v>
      </c>
      <c r="H44">
        <f>H43+Table1[[#This Row],[Total Gross P&amp;L]]</f>
        <v>569729</v>
      </c>
      <c r="I44">
        <f>WEEKNUM(Table1[[#This Row],[Date]])</f>
        <v>9</v>
      </c>
      <c r="J44">
        <f t="shared" si="2"/>
        <v>4</v>
      </c>
      <c r="K44">
        <f t="shared" si="3"/>
        <v>0</v>
      </c>
    </row>
    <row r="45" spans="1:11" x14ac:dyDescent="0.3">
      <c r="A45">
        <v>44</v>
      </c>
      <c r="B45" s="1">
        <v>45719</v>
      </c>
      <c r="C45" t="s">
        <v>10</v>
      </c>
      <c r="D45" t="str">
        <f>TEXT(Table1[[#This Row],[Date]],"mmm")</f>
        <v>Mar</v>
      </c>
      <c r="E45">
        <v>-16775</v>
      </c>
      <c r="F45">
        <v>30795</v>
      </c>
      <c r="G45">
        <f>Table1[[#This Row],[Algo]]+Table1[[#This Row],[Manual]]</f>
        <v>14020</v>
      </c>
      <c r="H45">
        <f>H44+Table1[[#This Row],[Total Gross P&amp;L]]</f>
        <v>583749</v>
      </c>
      <c r="I45">
        <f>WEEKNUM(Table1[[#This Row],[Date]])</f>
        <v>10</v>
      </c>
      <c r="J45">
        <f t="shared" si="2"/>
        <v>5</v>
      </c>
      <c r="K45">
        <f t="shared" si="3"/>
        <v>0</v>
      </c>
    </row>
    <row r="46" spans="1:11" x14ac:dyDescent="0.3">
      <c r="A46">
        <v>45</v>
      </c>
      <c r="B46" s="1">
        <v>45720</v>
      </c>
      <c r="C46" t="s">
        <v>11</v>
      </c>
      <c r="D46" t="str">
        <f>TEXT(Table1[[#This Row],[Date]],"mmm")</f>
        <v>Mar</v>
      </c>
      <c r="E46">
        <v>33041</v>
      </c>
      <c r="F46">
        <v>21769</v>
      </c>
      <c r="G46">
        <f>Table1[[#This Row],[Algo]]+Table1[[#This Row],[Manual]]</f>
        <v>54810</v>
      </c>
      <c r="H46">
        <f>H45+Table1[[#This Row],[Total Gross P&amp;L]]</f>
        <v>638559</v>
      </c>
      <c r="I46">
        <f>WEEKNUM(Table1[[#This Row],[Date]])</f>
        <v>10</v>
      </c>
      <c r="J46">
        <f t="shared" si="2"/>
        <v>6</v>
      </c>
      <c r="K46">
        <f t="shared" si="3"/>
        <v>0</v>
      </c>
    </row>
    <row r="47" spans="1:11" x14ac:dyDescent="0.3">
      <c r="A47">
        <v>46</v>
      </c>
      <c r="B47" s="1">
        <v>45721</v>
      </c>
      <c r="C47" t="s">
        <v>7</v>
      </c>
      <c r="D47" t="str">
        <f>TEXT(Table1[[#This Row],[Date]],"mmm")</f>
        <v>Mar</v>
      </c>
      <c r="E47">
        <v>-1811</v>
      </c>
      <c r="F47">
        <v>14025</v>
      </c>
      <c r="G47">
        <f>Table1[[#This Row],[Algo]]+Table1[[#This Row],[Manual]]</f>
        <v>12214</v>
      </c>
      <c r="H47">
        <f>H46+Table1[[#This Row],[Total Gross P&amp;L]]</f>
        <v>650773</v>
      </c>
      <c r="I47">
        <f>WEEKNUM(Table1[[#This Row],[Date]])</f>
        <v>10</v>
      </c>
      <c r="J47">
        <f t="shared" si="2"/>
        <v>7</v>
      </c>
      <c r="K47">
        <f t="shared" si="3"/>
        <v>0</v>
      </c>
    </row>
    <row r="48" spans="1:11" x14ac:dyDescent="0.3">
      <c r="A48">
        <v>47</v>
      </c>
      <c r="B48" s="1">
        <v>45722</v>
      </c>
      <c r="C48" t="s">
        <v>8</v>
      </c>
      <c r="D48" t="str">
        <f>TEXT(Table1[[#This Row],[Date]],"mmm")</f>
        <v>Mar</v>
      </c>
      <c r="E48">
        <v>-13072</v>
      </c>
      <c r="F48">
        <v>1800</v>
      </c>
      <c r="G48">
        <f>Table1[[#This Row],[Algo]]+Table1[[#This Row],[Manual]]</f>
        <v>-11272</v>
      </c>
      <c r="H48">
        <f>H47+Table1[[#This Row],[Total Gross P&amp;L]]</f>
        <v>639501</v>
      </c>
      <c r="I48">
        <f>WEEKNUM(Table1[[#This Row],[Date]])</f>
        <v>10</v>
      </c>
      <c r="J48">
        <f t="shared" si="2"/>
        <v>0</v>
      </c>
      <c r="K48">
        <f t="shared" si="3"/>
        <v>1</v>
      </c>
    </row>
    <row r="49" spans="1:11" x14ac:dyDescent="0.3">
      <c r="A49">
        <v>48</v>
      </c>
      <c r="B49" s="1">
        <v>45723</v>
      </c>
      <c r="C49" t="s">
        <v>9</v>
      </c>
      <c r="D49" t="str">
        <f>TEXT(Table1[[#This Row],[Date]],"mmm")</f>
        <v>Mar</v>
      </c>
      <c r="E49">
        <v>17738</v>
      </c>
      <c r="F49">
        <v>29253</v>
      </c>
      <c r="G49">
        <f>Table1[[#This Row],[Algo]]+Table1[[#This Row],[Manual]]</f>
        <v>46991</v>
      </c>
      <c r="H49">
        <f>H48+Table1[[#This Row],[Total Gross P&amp;L]]</f>
        <v>686492</v>
      </c>
      <c r="I49">
        <f>WEEKNUM(Table1[[#This Row],[Date]])</f>
        <v>10</v>
      </c>
      <c r="J49">
        <f t="shared" si="2"/>
        <v>1</v>
      </c>
      <c r="K49">
        <f t="shared" si="3"/>
        <v>0</v>
      </c>
    </row>
    <row r="50" spans="1:11" x14ac:dyDescent="0.3">
      <c r="A50">
        <v>49</v>
      </c>
      <c r="B50" s="1">
        <v>45726</v>
      </c>
      <c r="C50" t="s">
        <v>10</v>
      </c>
      <c r="D50" t="str">
        <f>TEXT(Table1[[#This Row],[Date]],"mmm")</f>
        <v>Mar</v>
      </c>
      <c r="E50">
        <v>2416</v>
      </c>
      <c r="F50">
        <v>19367</v>
      </c>
      <c r="G50">
        <f>Table1[[#This Row],[Algo]]+Table1[[#This Row],[Manual]]</f>
        <v>21783</v>
      </c>
      <c r="H50">
        <f>H49+Table1[[#This Row],[Total Gross P&amp;L]]</f>
        <v>708275</v>
      </c>
      <c r="I50">
        <f>WEEKNUM(Table1[[#This Row],[Date]])</f>
        <v>11</v>
      </c>
      <c r="J50">
        <f t="shared" si="2"/>
        <v>2</v>
      </c>
      <c r="K50">
        <f t="shared" si="3"/>
        <v>0</v>
      </c>
    </row>
    <row r="51" spans="1:11" x14ac:dyDescent="0.3">
      <c r="A51">
        <v>50</v>
      </c>
      <c r="B51" s="1">
        <v>45727</v>
      </c>
      <c r="C51" t="s">
        <v>11</v>
      </c>
      <c r="D51" t="str">
        <f>TEXT(Table1[[#This Row],[Date]],"mmm")</f>
        <v>Mar</v>
      </c>
      <c r="E51">
        <v>10869</v>
      </c>
      <c r="F51">
        <v>10981</v>
      </c>
      <c r="G51">
        <f>Table1[[#This Row],[Algo]]+Table1[[#This Row],[Manual]]</f>
        <v>21850</v>
      </c>
      <c r="H51">
        <f>H50+Table1[[#This Row],[Total Gross P&amp;L]]</f>
        <v>730125</v>
      </c>
      <c r="I51">
        <f>WEEKNUM(Table1[[#This Row],[Date]])</f>
        <v>11</v>
      </c>
      <c r="J51">
        <f t="shared" si="2"/>
        <v>3</v>
      </c>
      <c r="K51">
        <f t="shared" si="3"/>
        <v>0</v>
      </c>
    </row>
    <row r="52" spans="1:11" x14ac:dyDescent="0.3">
      <c r="A52">
        <v>51</v>
      </c>
      <c r="B52" s="1">
        <v>45728</v>
      </c>
      <c r="C52" t="s">
        <v>7</v>
      </c>
      <c r="D52" t="str">
        <f>TEXT(Table1[[#This Row],[Date]],"mmm")</f>
        <v>Mar</v>
      </c>
      <c r="E52">
        <v>30307</v>
      </c>
      <c r="F52">
        <v>-5142</v>
      </c>
      <c r="G52">
        <f>Table1[[#This Row],[Algo]]+Table1[[#This Row],[Manual]]</f>
        <v>25165</v>
      </c>
      <c r="H52">
        <f>H51+Table1[[#This Row],[Total Gross P&amp;L]]</f>
        <v>755290</v>
      </c>
      <c r="I52">
        <f>WEEKNUM(Table1[[#This Row],[Date]])</f>
        <v>11</v>
      </c>
      <c r="J52">
        <f t="shared" si="2"/>
        <v>4</v>
      </c>
      <c r="K52">
        <f t="shared" si="3"/>
        <v>0</v>
      </c>
    </row>
    <row r="53" spans="1:11" x14ac:dyDescent="0.3">
      <c r="A53">
        <v>52</v>
      </c>
      <c r="B53" s="1">
        <v>45729</v>
      </c>
      <c r="C53" t="s">
        <v>8</v>
      </c>
      <c r="D53" t="str">
        <f>TEXT(Table1[[#This Row],[Date]],"mmm")</f>
        <v>Mar</v>
      </c>
      <c r="E53">
        <v>-17965</v>
      </c>
      <c r="F53">
        <v>-6279</v>
      </c>
      <c r="G53">
        <f>Table1[[#This Row],[Algo]]+Table1[[#This Row],[Manual]]</f>
        <v>-24244</v>
      </c>
      <c r="H53">
        <f>H52+Table1[[#This Row],[Total Gross P&amp;L]]</f>
        <v>731046</v>
      </c>
      <c r="I53">
        <f>WEEKNUM(Table1[[#This Row],[Date]])</f>
        <v>11</v>
      </c>
      <c r="J53">
        <f t="shared" si="2"/>
        <v>0</v>
      </c>
      <c r="K53">
        <f t="shared" si="3"/>
        <v>1</v>
      </c>
    </row>
    <row r="54" spans="1:11" x14ac:dyDescent="0.3">
      <c r="A54">
        <v>53</v>
      </c>
      <c r="B54" s="1">
        <v>45730</v>
      </c>
      <c r="C54" t="s">
        <v>9</v>
      </c>
      <c r="D54" t="str">
        <f>TEXT(Table1[[#This Row],[Date]],"mmm")</f>
        <v>Mar</v>
      </c>
      <c r="E54">
        <v>20210</v>
      </c>
      <c r="F54">
        <v>18854</v>
      </c>
      <c r="G54">
        <f>Table1[[#This Row],[Algo]]+Table1[[#This Row],[Manual]]</f>
        <v>39064</v>
      </c>
      <c r="H54">
        <f>H53+Table1[[#This Row],[Total Gross P&amp;L]]</f>
        <v>770110</v>
      </c>
      <c r="I54">
        <f>WEEKNUM(Table1[[#This Row],[Date]])</f>
        <v>11</v>
      </c>
      <c r="J54">
        <f t="shared" si="2"/>
        <v>1</v>
      </c>
      <c r="K54">
        <f t="shared" si="3"/>
        <v>0</v>
      </c>
    </row>
    <row r="55" spans="1:11" x14ac:dyDescent="0.3">
      <c r="A55">
        <v>54</v>
      </c>
      <c r="B55" s="1">
        <v>45733</v>
      </c>
      <c r="C55" t="s">
        <v>10</v>
      </c>
      <c r="D55" t="str">
        <f>TEXT(Table1[[#This Row],[Date]],"mmm")</f>
        <v>Mar</v>
      </c>
      <c r="E55">
        <v>26476</v>
      </c>
      <c r="F55">
        <v>-1677</v>
      </c>
      <c r="G55">
        <f>Table1[[#This Row],[Algo]]+Table1[[#This Row],[Manual]]</f>
        <v>24799</v>
      </c>
      <c r="H55">
        <f>H54+Table1[[#This Row],[Total Gross P&amp;L]]</f>
        <v>794909</v>
      </c>
      <c r="I55">
        <f>WEEKNUM(Table1[[#This Row],[Date]])</f>
        <v>12</v>
      </c>
      <c r="J55">
        <f t="shared" si="2"/>
        <v>2</v>
      </c>
      <c r="K55">
        <f t="shared" si="3"/>
        <v>0</v>
      </c>
    </row>
    <row r="56" spans="1:11" x14ac:dyDescent="0.3">
      <c r="A56">
        <v>55</v>
      </c>
      <c r="B56" s="1">
        <v>45734</v>
      </c>
      <c r="C56" t="s">
        <v>11</v>
      </c>
      <c r="D56" t="str">
        <f>TEXT(Table1[[#This Row],[Date]],"mmm")</f>
        <v>Mar</v>
      </c>
      <c r="E56">
        <v>12964</v>
      </c>
      <c r="F56">
        <v>-3496</v>
      </c>
      <c r="G56">
        <f>Table1[[#This Row],[Algo]]+Table1[[#This Row],[Manual]]</f>
        <v>9468</v>
      </c>
      <c r="H56">
        <f>H55+Table1[[#This Row],[Total Gross P&amp;L]]</f>
        <v>804377</v>
      </c>
      <c r="I56">
        <f>WEEKNUM(Table1[[#This Row],[Date]])</f>
        <v>12</v>
      </c>
      <c r="J56">
        <f t="shared" si="2"/>
        <v>3</v>
      </c>
      <c r="K56">
        <f t="shared" si="3"/>
        <v>0</v>
      </c>
    </row>
    <row r="57" spans="1:11" x14ac:dyDescent="0.3">
      <c r="A57">
        <v>56</v>
      </c>
      <c r="B57" s="1">
        <v>45735</v>
      </c>
      <c r="C57" t="s">
        <v>7</v>
      </c>
      <c r="D57" t="str">
        <f>TEXT(Table1[[#This Row],[Date]],"mmm")</f>
        <v>Mar</v>
      </c>
      <c r="E57">
        <v>-17191</v>
      </c>
      <c r="F57">
        <v>-6085</v>
      </c>
      <c r="G57">
        <f>Table1[[#This Row],[Algo]]+Table1[[#This Row],[Manual]]</f>
        <v>-23276</v>
      </c>
      <c r="H57">
        <f>H56+Table1[[#This Row],[Total Gross P&amp;L]]</f>
        <v>781101</v>
      </c>
      <c r="I57">
        <f>WEEKNUM(Table1[[#This Row],[Date]])</f>
        <v>12</v>
      </c>
      <c r="J57">
        <f t="shared" si="2"/>
        <v>0</v>
      </c>
      <c r="K57">
        <f t="shared" si="3"/>
        <v>1</v>
      </c>
    </row>
    <row r="58" spans="1:11" x14ac:dyDescent="0.3">
      <c r="A58">
        <v>57</v>
      </c>
      <c r="B58" s="1">
        <v>45736</v>
      </c>
      <c r="C58" t="s">
        <v>8</v>
      </c>
      <c r="D58" t="str">
        <f>TEXT(Table1[[#This Row],[Date]],"mmm")</f>
        <v>Mar</v>
      </c>
      <c r="E58">
        <v>10128</v>
      </c>
      <c r="F58">
        <v>-463</v>
      </c>
      <c r="G58">
        <f>Table1[[#This Row],[Algo]]+Table1[[#This Row],[Manual]]</f>
        <v>9665</v>
      </c>
      <c r="H58">
        <f>H57+Table1[[#This Row],[Total Gross P&amp;L]]</f>
        <v>790766</v>
      </c>
      <c r="I58">
        <f>WEEKNUM(Table1[[#This Row],[Date]])</f>
        <v>12</v>
      </c>
      <c r="J58">
        <f t="shared" si="2"/>
        <v>1</v>
      </c>
      <c r="K58">
        <f t="shared" si="3"/>
        <v>0</v>
      </c>
    </row>
    <row r="59" spans="1:11" x14ac:dyDescent="0.3">
      <c r="A59">
        <v>58</v>
      </c>
      <c r="B59" s="1">
        <v>45737</v>
      </c>
      <c r="C59" t="s">
        <v>9</v>
      </c>
      <c r="D59" t="str">
        <f>TEXT(Table1[[#This Row],[Date]],"mmm")</f>
        <v>Mar</v>
      </c>
      <c r="E59">
        <v>26384</v>
      </c>
      <c r="F59">
        <v>32298</v>
      </c>
      <c r="G59">
        <f>Table1[[#This Row],[Algo]]+Table1[[#This Row],[Manual]]</f>
        <v>58682</v>
      </c>
      <c r="H59">
        <f>H58+Table1[[#This Row],[Total Gross P&amp;L]]</f>
        <v>849448</v>
      </c>
      <c r="I59">
        <f>WEEKNUM(Table1[[#This Row],[Date]])</f>
        <v>12</v>
      </c>
      <c r="J59">
        <f t="shared" si="2"/>
        <v>2</v>
      </c>
      <c r="K59">
        <f t="shared" si="3"/>
        <v>0</v>
      </c>
    </row>
    <row r="60" spans="1:11" x14ac:dyDescent="0.3">
      <c r="A60">
        <v>59</v>
      </c>
      <c r="B60" s="1">
        <v>45740</v>
      </c>
      <c r="C60" t="s">
        <v>10</v>
      </c>
      <c r="D60" t="str">
        <f>TEXT(Table1[[#This Row],[Date]],"mmm")</f>
        <v>Mar</v>
      </c>
      <c r="E60">
        <v>22201</v>
      </c>
      <c r="F60">
        <v>1699</v>
      </c>
      <c r="G60">
        <f>Table1[[#This Row],[Algo]]+Table1[[#This Row],[Manual]]</f>
        <v>23900</v>
      </c>
      <c r="H60">
        <f>H59+Table1[[#This Row],[Total Gross P&amp;L]]</f>
        <v>873348</v>
      </c>
      <c r="I60">
        <f>WEEKNUM(Table1[[#This Row],[Date]])</f>
        <v>13</v>
      </c>
      <c r="J60">
        <f t="shared" si="2"/>
        <v>3</v>
      </c>
      <c r="K60">
        <f t="shared" si="3"/>
        <v>0</v>
      </c>
    </row>
    <row r="61" spans="1:11" x14ac:dyDescent="0.3">
      <c r="A61">
        <v>60</v>
      </c>
      <c r="B61" s="1">
        <v>45741</v>
      </c>
      <c r="C61" t="s">
        <v>11</v>
      </c>
      <c r="D61" t="str">
        <f>TEXT(Table1[[#This Row],[Date]],"mmm")</f>
        <v>Mar</v>
      </c>
      <c r="E61">
        <v>-19173</v>
      </c>
      <c r="F61">
        <v>14862</v>
      </c>
      <c r="G61">
        <f>Table1[[#This Row],[Algo]]+Table1[[#This Row],[Manual]]</f>
        <v>-4311</v>
      </c>
      <c r="H61">
        <f>H60+Table1[[#This Row],[Total Gross P&amp;L]]</f>
        <v>869037</v>
      </c>
      <c r="I61">
        <f>WEEKNUM(Table1[[#This Row],[Date]])</f>
        <v>13</v>
      </c>
      <c r="J61">
        <f t="shared" si="2"/>
        <v>0</v>
      </c>
      <c r="K61">
        <f t="shared" si="3"/>
        <v>1</v>
      </c>
    </row>
    <row r="62" spans="1:11" x14ac:dyDescent="0.3">
      <c r="A62">
        <v>61</v>
      </c>
      <c r="B62" s="1">
        <v>45742</v>
      </c>
      <c r="C62" t="s">
        <v>7</v>
      </c>
      <c r="D62" t="str">
        <f>TEXT(Table1[[#This Row],[Date]],"mmm")</f>
        <v>Mar</v>
      </c>
      <c r="E62">
        <v>6079</v>
      </c>
      <c r="F62">
        <v>-6673</v>
      </c>
      <c r="G62">
        <f>Table1[[#This Row],[Algo]]+Table1[[#This Row],[Manual]]</f>
        <v>-594</v>
      </c>
      <c r="H62">
        <f>H61+Table1[[#This Row],[Total Gross P&amp;L]]</f>
        <v>868443</v>
      </c>
      <c r="I62">
        <f>WEEKNUM(Table1[[#This Row],[Date]])</f>
        <v>13</v>
      </c>
      <c r="J62">
        <f t="shared" si="2"/>
        <v>0</v>
      </c>
      <c r="K62">
        <f t="shared" si="3"/>
        <v>2</v>
      </c>
    </row>
    <row r="63" spans="1:11" x14ac:dyDescent="0.3">
      <c r="A63">
        <v>62</v>
      </c>
      <c r="B63" s="1">
        <v>45743</v>
      </c>
      <c r="C63" t="s">
        <v>8</v>
      </c>
      <c r="D63" t="str">
        <f>TEXT(Table1[[#This Row],[Date]],"mmm")</f>
        <v>Mar</v>
      </c>
      <c r="E63">
        <v>-2553</v>
      </c>
      <c r="F63">
        <v>27013</v>
      </c>
      <c r="G63">
        <f>Table1[[#This Row],[Algo]]+Table1[[#This Row],[Manual]]</f>
        <v>24460</v>
      </c>
      <c r="H63">
        <f>H62+Table1[[#This Row],[Total Gross P&amp;L]]</f>
        <v>892903</v>
      </c>
      <c r="I63">
        <f>WEEKNUM(Table1[[#This Row],[Date]])</f>
        <v>13</v>
      </c>
      <c r="J63">
        <f t="shared" si="2"/>
        <v>1</v>
      </c>
      <c r="K63">
        <f t="shared" si="3"/>
        <v>0</v>
      </c>
    </row>
    <row r="64" spans="1:11" x14ac:dyDescent="0.3">
      <c r="A64">
        <v>63</v>
      </c>
      <c r="B64" s="1">
        <v>45744</v>
      </c>
      <c r="C64" t="s">
        <v>9</v>
      </c>
      <c r="D64" t="str">
        <f>TEXT(Table1[[#This Row],[Date]],"mmm")</f>
        <v>Mar</v>
      </c>
      <c r="E64">
        <v>-3127</v>
      </c>
      <c r="F64">
        <v>-9228</v>
      </c>
      <c r="G64">
        <f>Table1[[#This Row],[Algo]]+Table1[[#This Row],[Manual]]</f>
        <v>-12355</v>
      </c>
      <c r="H64">
        <f>H63+Table1[[#This Row],[Total Gross P&amp;L]]</f>
        <v>880548</v>
      </c>
      <c r="I64">
        <f>WEEKNUM(Table1[[#This Row],[Date]])</f>
        <v>13</v>
      </c>
      <c r="J64">
        <f t="shared" si="2"/>
        <v>0</v>
      </c>
      <c r="K64">
        <f t="shared" si="3"/>
        <v>1</v>
      </c>
    </row>
    <row r="65" spans="1:11" x14ac:dyDescent="0.3">
      <c r="A65">
        <v>64</v>
      </c>
      <c r="B65" s="1">
        <v>45747</v>
      </c>
      <c r="C65" t="s">
        <v>10</v>
      </c>
      <c r="D65" t="str">
        <f>TEXT(Table1[[#This Row],[Date]],"mmm")</f>
        <v>Mar</v>
      </c>
      <c r="E65">
        <v>-17728</v>
      </c>
      <c r="F65">
        <v>-7722</v>
      </c>
      <c r="G65">
        <f>Table1[[#This Row],[Algo]]+Table1[[#This Row],[Manual]]</f>
        <v>-25450</v>
      </c>
      <c r="H65">
        <f>H64+Table1[[#This Row],[Total Gross P&amp;L]]</f>
        <v>855098</v>
      </c>
      <c r="I65">
        <f>WEEKNUM(Table1[[#This Row],[Date]])</f>
        <v>14</v>
      </c>
      <c r="J65">
        <f t="shared" si="2"/>
        <v>0</v>
      </c>
      <c r="K65">
        <f t="shared" si="3"/>
        <v>2</v>
      </c>
    </row>
    <row r="66" spans="1:11" x14ac:dyDescent="0.3">
      <c r="A66">
        <v>65</v>
      </c>
      <c r="B66" s="1">
        <v>45748</v>
      </c>
      <c r="C66" t="s">
        <v>11</v>
      </c>
      <c r="D66" t="str">
        <f>TEXT(Table1[[#This Row],[Date]],"mmm")</f>
        <v>Apr</v>
      </c>
      <c r="E66">
        <v>-11933</v>
      </c>
      <c r="F66">
        <v>16874</v>
      </c>
      <c r="G66">
        <f>Table1[[#This Row],[Algo]]+Table1[[#This Row],[Manual]]</f>
        <v>4941</v>
      </c>
      <c r="H66">
        <f>H65+Table1[[#This Row],[Total Gross P&amp;L]]</f>
        <v>860039</v>
      </c>
      <c r="I66">
        <f>WEEKNUM(Table1[[#This Row],[Date]])</f>
        <v>14</v>
      </c>
      <c r="J66">
        <f t="shared" si="2"/>
        <v>1</v>
      </c>
      <c r="K66">
        <f t="shared" si="3"/>
        <v>0</v>
      </c>
    </row>
    <row r="67" spans="1:11" x14ac:dyDescent="0.3">
      <c r="A67">
        <v>66</v>
      </c>
      <c r="B67" s="1">
        <v>45749</v>
      </c>
      <c r="C67" t="s">
        <v>7</v>
      </c>
      <c r="D67" t="str">
        <f>TEXT(Table1[[#This Row],[Date]],"mmm")</f>
        <v>Apr</v>
      </c>
      <c r="E67">
        <v>24512</v>
      </c>
      <c r="F67">
        <v>21201</v>
      </c>
      <c r="G67">
        <f>Table1[[#This Row],[Algo]]+Table1[[#This Row],[Manual]]</f>
        <v>45713</v>
      </c>
      <c r="H67">
        <f>H66+Table1[[#This Row],[Total Gross P&amp;L]]</f>
        <v>905752</v>
      </c>
      <c r="I67">
        <f>WEEKNUM(Table1[[#This Row],[Date]])</f>
        <v>14</v>
      </c>
      <c r="J67">
        <f t="shared" si="2"/>
        <v>2</v>
      </c>
      <c r="K67">
        <f t="shared" si="3"/>
        <v>0</v>
      </c>
    </row>
    <row r="68" spans="1:11" x14ac:dyDescent="0.3">
      <c r="A68">
        <v>67</v>
      </c>
      <c r="B68" s="1">
        <v>45750</v>
      </c>
      <c r="C68" t="s">
        <v>8</v>
      </c>
      <c r="D68" t="str">
        <f>TEXT(Table1[[#This Row],[Date]],"mmm")</f>
        <v>Apr</v>
      </c>
      <c r="E68">
        <v>32481</v>
      </c>
      <c r="F68">
        <v>3385</v>
      </c>
      <c r="G68">
        <f>Table1[[#This Row],[Algo]]+Table1[[#This Row],[Manual]]</f>
        <v>35866</v>
      </c>
      <c r="H68">
        <f>H67+Table1[[#This Row],[Total Gross P&amp;L]]</f>
        <v>941618</v>
      </c>
      <c r="I68">
        <f>WEEKNUM(Table1[[#This Row],[Date]])</f>
        <v>14</v>
      </c>
      <c r="J68">
        <f t="shared" ref="J68:J131" si="4">IF(G68&gt;0,J67+1,0)</f>
        <v>3</v>
      </c>
      <c r="K68">
        <f t="shared" si="3"/>
        <v>0</v>
      </c>
    </row>
    <row r="69" spans="1:11" x14ac:dyDescent="0.3">
      <c r="A69">
        <v>68</v>
      </c>
      <c r="B69" s="1">
        <v>45751</v>
      </c>
      <c r="C69" t="s">
        <v>9</v>
      </c>
      <c r="D69" t="str">
        <f>TEXT(Table1[[#This Row],[Date]],"mmm")</f>
        <v>Apr</v>
      </c>
      <c r="E69">
        <v>3638</v>
      </c>
      <c r="F69">
        <v>-19751</v>
      </c>
      <c r="G69">
        <f>Table1[[#This Row],[Algo]]+Table1[[#This Row],[Manual]]</f>
        <v>-16113</v>
      </c>
      <c r="H69">
        <f>H68+Table1[[#This Row],[Total Gross P&amp;L]]</f>
        <v>925505</v>
      </c>
      <c r="I69">
        <f>WEEKNUM(Table1[[#This Row],[Date]])</f>
        <v>14</v>
      </c>
      <c r="J69">
        <f t="shared" si="4"/>
        <v>0</v>
      </c>
      <c r="K69">
        <f t="shared" ref="K69:K132" si="5">IF(G69&lt;0,K68+1,0)</f>
        <v>1</v>
      </c>
    </row>
    <row r="70" spans="1:11" x14ac:dyDescent="0.3">
      <c r="A70">
        <v>69</v>
      </c>
      <c r="B70" s="1">
        <v>45754</v>
      </c>
      <c r="C70" t="s">
        <v>10</v>
      </c>
      <c r="D70" t="str">
        <f>TEXT(Table1[[#This Row],[Date]],"mmm")</f>
        <v>Apr</v>
      </c>
      <c r="E70">
        <v>18698</v>
      </c>
      <c r="F70">
        <v>29604</v>
      </c>
      <c r="G70">
        <f>Table1[[#This Row],[Algo]]+Table1[[#This Row],[Manual]]</f>
        <v>48302</v>
      </c>
      <c r="H70">
        <f>H69+Table1[[#This Row],[Total Gross P&amp;L]]</f>
        <v>973807</v>
      </c>
      <c r="I70">
        <f>WEEKNUM(Table1[[#This Row],[Date]])</f>
        <v>15</v>
      </c>
      <c r="J70">
        <f t="shared" si="4"/>
        <v>1</v>
      </c>
      <c r="K70">
        <f t="shared" si="5"/>
        <v>0</v>
      </c>
    </row>
    <row r="71" spans="1:11" x14ac:dyDescent="0.3">
      <c r="A71">
        <v>70</v>
      </c>
      <c r="B71" s="1">
        <v>45755</v>
      </c>
      <c r="C71" t="s">
        <v>11</v>
      </c>
      <c r="D71" t="str">
        <f>TEXT(Table1[[#This Row],[Date]],"mmm")</f>
        <v>Apr</v>
      </c>
      <c r="E71">
        <v>14213</v>
      </c>
      <c r="F71">
        <v>25033</v>
      </c>
      <c r="G71">
        <f>Table1[[#This Row],[Algo]]+Table1[[#This Row],[Manual]]</f>
        <v>39246</v>
      </c>
      <c r="H71">
        <f>H70+Table1[[#This Row],[Total Gross P&amp;L]]</f>
        <v>1013053</v>
      </c>
      <c r="I71">
        <f>WEEKNUM(Table1[[#This Row],[Date]])</f>
        <v>15</v>
      </c>
      <c r="J71">
        <f t="shared" si="4"/>
        <v>2</v>
      </c>
      <c r="K71">
        <f t="shared" si="5"/>
        <v>0</v>
      </c>
    </row>
    <row r="72" spans="1:11" x14ac:dyDescent="0.3">
      <c r="A72">
        <v>71</v>
      </c>
      <c r="B72" s="1">
        <v>45756</v>
      </c>
      <c r="C72" t="s">
        <v>7</v>
      </c>
      <c r="D72" t="str">
        <f>TEXT(Table1[[#This Row],[Date]],"mmm")</f>
        <v>Apr</v>
      </c>
      <c r="E72">
        <v>2369</v>
      </c>
      <c r="F72">
        <v>15960</v>
      </c>
      <c r="G72">
        <f>Table1[[#This Row],[Algo]]+Table1[[#This Row],[Manual]]</f>
        <v>18329</v>
      </c>
      <c r="H72">
        <f>H71+Table1[[#This Row],[Total Gross P&amp;L]]</f>
        <v>1031382</v>
      </c>
      <c r="I72">
        <f>WEEKNUM(Table1[[#This Row],[Date]])</f>
        <v>15</v>
      </c>
      <c r="J72">
        <f t="shared" si="4"/>
        <v>3</v>
      </c>
      <c r="K72">
        <f t="shared" si="5"/>
        <v>0</v>
      </c>
    </row>
    <row r="73" spans="1:11" x14ac:dyDescent="0.3">
      <c r="A73">
        <v>72</v>
      </c>
      <c r="B73" s="1">
        <v>45757</v>
      </c>
      <c r="C73" t="s">
        <v>8</v>
      </c>
      <c r="D73" t="str">
        <f>TEXT(Table1[[#This Row],[Date]],"mmm")</f>
        <v>Apr</v>
      </c>
      <c r="E73">
        <v>3159</v>
      </c>
      <c r="F73">
        <v>27873</v>
      </c>
      <c r="G73">
        <f>Table1[[#This Row],[Algo]]+Table1[[#This Row],[Manual]]</f>
        <v>31032</v>
      </c>
      <c r="H73">
        <f>H72+Table1[[#This Row],[Total Gross P&amp;L]]</f>
        <v>1062414</v>
      </c>
      <c r="I73">
        <f>WEEKNUM(Table1[[#This Row],[Date]])</f>
        <v>15</v>
      </c>
      <c r="J73">
        <f t="shared" si="4"/>
        <v>4</v>
      </c>
      <c r="K73">
        <f t="shared" si="5"/>
        <v>0</v>
      </c>
    </row>
    <row r="74" spans="1:11" x14ac:dyDescent="0.3">
      <c r="A74">
        <v>73</v>
      </c>
      <c r="B74" s="1">
        <v>45758</v>
      </c>
      <c r="C74" t="s">
        <v>9</v>
      </c>
      <c r="D74" t="str">
        <f>TEXT(Table1[[#This Row],[Date]],"mmm")</f>
        <v>Apr</v>
      </c>
      <c r="E74">
        <v>8286</v>
      </c>
      <c r="F74">
        <v>2878</v>
      </c>
      <c r="G74">
        <f>Table1[[#This Row],[Algo]]+Table1[[#This Row],[Manual]]</f>
        <v>11164</v>
      </c>
      <c r="H74">
        <f>H73+Table1[[#This Row],[Total Gross P&amp;L]]</f>
        <v>1073578</v>
      </c>
      <c r="I74">
        <f>WEEKNUM(Table1[[#This Row],[Date]])</f>
        <v>15</v>
      </c>
      <c r="J74">
        <f t="shared" si="4"/>
        <v>5</v>
      </c>
      <c r="K74">
        <f t="shared" si="5"/>
        <v>0</v>
      </c>
    </row>
    <row r="75" spans="1:11" x14ac:dyDescent="0.3">
      <c r="A75">
        <v>74</v>
      </c>
      <c r="B75" s="1">
        <v>45761</v>
      </c>
      <c r="C75" t="s">
        <v>10</v>
      </c>
      <c r="D75" t="str">
        <f>TEXT(Table1[[#This Row],[Date]],"mmm")</f>
        <v>Apr</v>
      </c>
      <c r="E75">
        <v>-9270</v>
      </c>
      <c r="F75">
        <v>-17696</v>
      </c>
      <c r="G75">
        <f>Table1[[#This Row],[Algo]]+Table1[[#This Row],[Manual]]</f>
        <v>-26966</v>
      </c>
      <c r="H75">
        <f>H74+Table1[[#This Row],[Total Gross P&amp;L]]</f>
        <v>1046612</v>
      </c>
      <c r="I75">
        <f>WEEKNUM(Table1[[#This Row],[Date]])</f>
        <v>16</v>
      </c>
      <c r="J75">
        <f t="shared" si="4"/>
        <v>0</v>
      </c>
      <c r="K75">
        <f t="shared" si="5"/>
        <v>1</v>
      </c>
    </row>
    <row r="76" spans="1:11" x14ac:dyDescent="0.3">
      <c r="A76">
        <v>75</v>
      </c>
      <c r="B76" s="1">
        <v>45762</v>
      </c>
      <c r="C76" t="s">
        <v>11</v>
      </c>
      <c r="D76" t="str">
        <f>TEXT(Table1[[#This Row],[Date]],"mmm")</f>
        <v>Apr</v>
      </c>
      <c r="E76">
        <v>-1397</v>
      </c>
      <c r="F76">
        <v>8653</v>
      </c>
      <c r="G76">
        <f>Table1[[#This Row],[Algo]]+Table1[[#This Row],[Manual]]</f>
        <v>7256</v>
      </c>
      <c r="H76">
        <f>H75+Table1[[#This Row],[Total Gross P&amp;L]]</f>
        <v>1053868</v>
      </c>
      <c r="I76">
        <f>WEEKNUM(Table1[[#This Row],[Date]])</f>
        <v>16</v>
      </c>
      <c r="J76">
        <f t="shared" si="4"/>
        <v>1</v>
      </c>
      <c r="K76">
        <f t="shared" si="5"/>
        <v>0</v>
      </c>
    </row>
    <row r="77" spans="1:11" x14ac:dyDescent="0.3">
      <c r="A77">
        <v>76</v>
      </c>
      <c r="B77" s="1">
        <v>45763</v>
      </c>
      <c r="C77" t="s">
        <v>7</v>
      </c>
      <c r="D77" t="str">
        <f>TEXT(Table1[[#This Row],[Date]],"mmm")</f>
        <v>Apr</v>
      </c>
      <c r="E77">
        <v>9854</v>
      </c>
      <c r="F77">
        <v>23699</v>
      </c>
      <c r="G77">
        <f>Table1[[#This Row],[Algo]]+Table1[[#This Row],[Manual]]</f>
        <v>33553</v>
      </c>
      <c r="H77">
        <f>H76+Table1[[#This Row],[Total Gross P&amp;L]]</f>
        <v>1087421</v>
      </c>
      <c r="I77">
        <f>WEEKNUM(Table1[[#This Row],[Date]])</f>
        <v>16</v>
      </c>
      <c r="J77">
        <f t="shared" si="4"/>
        <v>2</v>
      </c>
      <c r="K77">
        <f t="shared" si="5"/>
        <v>0</v>
      </c>
    </row>
    <row r="78" spans="1:11" x14ac:dyDescent="0.3">
      <c r="A78">
        <v>77</v>
      </c>
      <c r="B78" s="1">
        <v>45764</v>
      </c>
      <c r="C78" t="s">
        <v>8</v>
      </c>
      <c r="D78" t="str">
        <f>TEXT(Table1[[#This Row],[Date]],"mmm")</f>
        <v>Apr</v>
      </c>
      <c r="E78">
        <v>21807</v>
      </c>
      <c r="F78">
        <v>3907</v>
      </c>
      <c r="G78">
        <f>Table1[[#This Row],[Algo]]+Table1[[#This Row],[Manual]]</f>
        <v>25714</v>
      </c>
      <c r="H78">
        <f>H77+Table1[[#This Row],[Total Gross P&amp;L]]</f>
        <v>1113135</v>
      </c>
      <c r="I78">
        <f>WEEKNUM(Table1[[#This Row],[Date]])</f>
        <v>16</v>
      </c>
      <c r="J78">
        <f t="shared" si="4"/>
        <v>3</v>
      </c>
      <c r="K78">
        <f t="shared" si="5"/>
        <v>0</v>
      </c>
    </row>
    <row r="79" spans="1:11" x14ac:dyDescent="0.3">
      <c r="A79">
        <v>78</v>
      </c>
      <c r="B79" s="1">
        <v>45765</v>
      </c>
      <c r="C79" t="s">
        <v>9</v>
      </c>
      <c r="D79" t="str">
        <f>TEXT(Table1[[#This Row],[Date]],"mmm")</f>
        <v>Apr</v>
      </c>
      <c r="E79">
        <v>3622</v>
      </c>
      <c r="F79">
        <v>6830</v>
      </c>
      <c r="G79">
        <f>Table1[[#This Row],[Algo]]+Table1[[#This Row],[Manual]]</f>
        <v>10452</v>
      </c>
      <c r="H79">
        <f>H78+Table1[[#This Row],[Total Gross P&amp;L]]</f>
        <v>1123587</v>
      </c>
      <c r="I79">
        <f>WEEKNUM(Table1[[#This Row],[Date]])</f>
        <v>16</v>
      </c>
      <c r="J79">
        <f t="shared" si="4"/>
        <v>4</v>
      </c>
      <c r="K79">
        <f t="shared" si="5"/>
        <v>0</v>
      </c>
    </row>
    <row r="80" spans="1:11" x14ac:dyDescent="0.3">
      <c r="A80">
        <v>79</v>
      </c>
      <c r="B80" s="1">
        <v>45768</v>
      </c>
      <c r="C80" t="s">
        <v>10</v>
      </c>
      <c r="D80" t="str">
        <f>TEXT(Table1[[#This Row],[Date]],"mmm")</f>
        <v>Apr</v>
      </c>
      <c r="E80">
        <v>1899</v>
      </c>
      <c r="F80">
        <v>5463</v>
      </c>
      <c r="G80">
        <f>Table1[[#This Row],[Algo]]+Table1[[#This Row],[Manual]]</f>
        <v>7362</v>
      </c>
      <c r="H80">
        <f>H79+Table1[[#This Row],[Total Gross P&amp;L]]</f>
        <v>1130949</v>
      </c>
      <c r="I80">
        <f>WEEKNUM(Table1[[#This Row],[Date]])</f>
        <v>17</v>
      </c>
      <c r="J80">
        <f t="shared" si="4"/>
        <v>5</v>
      </c>
      <c r="K80">
        <f t="shared" si="5"/>
        <v>0</v>
      </c>
    </row>
    <row r="81" spans="1:11" x14ac:dyDescent="0.3">
      <c r="A81">
        <v>80</v>
      </c>
      <c r="B81" s="1">
        <v>45769</v>
      </c>
      <c r="C81" t="s">
        <v>11</v>
      </c>
      <c r="D81" t="str">
        <f>TEXT(Table1[[#This Row],[Date]],"mmm")</f>
        <v>Apr</v>
      </c>
      <c r="E81">
        <v>-16299</v>
      </c>
      <c r="F81">
        <v>25371</v>
      </c>
      <c r="G81">
        <f>Table1[[#This Row],[Algo]]+Table1[[#This Row],[Manual]]</f>
        <v>9072</v>
      </c>
      <c r="H81">
        <f>H80+Table1[[#This Row],[Total Gross P&amp;L]]</f>
        <v>1140021</v>
      </c>
      <c r="I81">
        <f>WEEKNUM(Table1[[#This Row],[Date]])</f>
        <v>17</v>
      </c>
      <c r="J81">
        <f t="shared" si="4"/>
        <v>6</v>
      </c>
      <c r="K81">
        <f t="shared" si="5"/>
        <v>0</v>
      </c>
    </row>
    <row r="82" spans="1:11" x14ac:dyDescent="0.3">
      <c r="A82">
        <v>81</v>
      </c>
      <c r="B82" s="1">
        <v>45770</v>
      </c>
      <c r="C82" t="s">
        <v>7</v>
      </c>
      <c r="D82" t="str">
        <f>TEXT(Table1[[#This Row],[Date]],"mmm")</f>
        <v>Apr</v>
      </c>
      <c r="E82">
        <v>10256</v>
      </c>
      <c r="F82">
        <v>23747</v>
      </c>
      <c r="G82">
        <f>Table1[[#This Row],[Algo]]+Table1[[#This Row],[Manual]]</f>
        <v>34003</v>
      </c>
      <c r="H82">
        <f>H81+Table1[[#This Row],[Total Gross P&amp;L]]</f>
        <v>1174024</v>
      </c>
      <c r="I82">
        <f>WEEKNUM(Table1[[#This Row],[Date]])</f>
        <v>17</v>
      </c>
      <c r="J82">
        <f t="shared" si="4"/>
        <v>7</v>
      </c>
      <c r="K82">
        <f t="shared" si="5"/>
        <v>0</v>
      </c>
    </row>
    <row r="83" spans="1:11" x14ac:dyDescent="0.3">
      <c r="A83">
        <v>82</v>
      </c>
      <c r="B83" s="1">
        <v>45771</v>
      </c>
      <c r="C83" t="s">
        <v>8</v>
      </c>
      <c r="D83" t="str">
        <f>TEXT(Table1[[#This Row],[Date]],"mmm")</f>
        <v>Apr</v>
      </c>
      <c r="E83">
        <v>11530</v>
      </c>
      <c r="F83">
        <v>9287</v>
      </c>
      <c r="G83">
        <f>Table1[[#This Row],[Algo]]+Table1[[#This Row],[Manual]]</f>
        <v>20817</v>
      </c>
      <c r="H83">
        <f>H82+Table1[[#This Row],[Total Gross P&amp;L]]</f>
        <v>1194841</v>
      </c>
      <c r="I83">
        <f>WEEKNUM(Table1[[#This Row],[Date]])</f>
        <v>17</v>
      </c>
      <c r="J83">
        <f t="shared" si="4"/>
        <v>8</v>
      </c>
      <c r="K83">
        <f t="shared" si="5"/>
        <v>0</v>
      </c>
    </row>
    <row r="84" spans="1:11" x14ac:dyDescent="0.3">
      <c r="A84">
        <v>83</v>
      </c>
      <c r="B84" s="1">
        <v>45772</v>
      </c>
      <c r="C84" t="s">
        <v>9</v>
      </c>
      <c r="D84" t="str">
        <f>TEXT(Table1[[#This Row],[Date]],"mmm")</f>
        <v>Apr</v>
      </c>
      <c r="E84">
        <v>32502</v>
      </c>
      <c r="F84">
        <v>16130</v>
      </c>
      <c r="G84">
        <f>Table1[[#This Row],[Algo]]+Table1[[#This Row],[Manual]]</f>
        <v>48632</v>
      </c>
      <c r="H84">
        <f>H83+Table1[[#This Row],[Total Gross P&amp;L]]</f>
        <v>1243473</v>
      </c>
      <c r="I84">
        <f>WEEKNUM(Table1[[#This Row],[Date]])</f>
        <v>17</v>
      </c>
      <c r="J84">
        <f t="shared" si="4"/>
        <v>9</v>
      </c>
      <c r="K84">
        <f t="shared" si="5"/>
        <v>0</v>
      </c>
    </row>
    <row r="85" spans="1:11" x14ac:dyDescent="0.3">
      <c r="A85">
        <v>84</v>
      </c>
      <c r="B85" s="1">
        <v>45775</v>
      </c>
      <c r="C85" t="s">
        <v>10</v>
      </c>
      <c r="D85" t="str">
        <f>TEXT(Table1[[#This Row],[Date]],"mmm")</f>
        <v>Apr</v>
      </c>
      <c r="E85">
        <v>1353</v>
      </c>
      <c r="F85">
        <v>-911</v>
      </c>
      <c r="G85">
        <f>Table1[[#This Row],[Algo]]+Table1[[#This Row],[Manual]]</f>
        <v>442</v>
      </c>
      <c r="H85">
        <f>H84+Table1[[#This Row],[Total Gross P&amp;L]]</f>
        <v>1243915</v>
      </c>
      <c r="I85">
        <f>WEEKNUM(Table1[[#This Row],[Date]])</f>
        <v>18</v>
      </c>
      <c r="J85">
        <f t="shared" si="4"/>
        <v>10</v>
      </c>
      <c r="K85">
        <f t="shared" si="5"/>
        <v>0</v>
      </c>
    </row>
    <row r="86" spans="1:11" x14ac:dyDescent="0.3">
      <c r="A86">
        <v>85</v>
      </c>
      <c r="B86" s="1">
        <v>45776</v>
      </c>
      <c r="C86" t="s">
        <v>11</v>
      </c>
      <c r="D86" t="str">
        <f>TEXT(Table1[[#This Row],[Date]],"mmm")</f>
        <v>Apr</v>
      </c>
      <c r="E86">
        <v>9958</v>
      </c>
      <c r="F86">
        <v>-15462</v>
      </c>
      <c r="G86">
        <f>Table1[[#This Row],[Algo]]+Table1[[#This Row],[Manual]]</f>
        <v>-5504</v>
      </c>
      <c r="H86">
        <f>H85+Table1[[#This Row],[Total Gross P&amp;L]]</f>
        <v>1238411</v>
      </c>
      <c r="I86">
        <f>WEEKNUM(Table1[[#This Row],[Date]])</f>
        <v>18</v>
      </c>
      <c r="J86">
        <f t="shared" si="4"/>
        <v>0</v>
      </c>
      <c r="K86">
        <f t="shared" si="5"/>
        <v>1</v>
      </c>
    </row>
    <row r="87" spans="1:11" x14ac:dyDescent="0.3">
      <c r="A87">
        <v>86</v>
      </c>
      <c r="B87" s="1">
        <v>45777</v>
      </c>
      <c r="C87" t="s">
        <v>7</v>
      </c>
      <c r="D87" t="str">
        <f>TEXT(Table1[[#This Row],[Date]],"mmm")</f>
        <v>Apr</v>
      </c>
      <c r="E87">
        <v>9277</v>
      </c>
      <c r="F87">
        <v>17958</v>
      </c>
      <c r="G87">
        <f>Table1[[#This Row],[Algo]]+Table1[[#This Row],[Manual]]</f>
        <v>27235</v>
      </c>
      <c r="H87">
        <f>H86+Table1[[#This Row],[Total Gross P&amp;L]]</f>
        <v>1265646</v>
      </c>
      <c r="I87">
        <f>WEEKNUM(Table1[[#This Row],[Date]])</f>
        <v>18</v>
      </c>
      <c r="J87">
        <f t="shared" si="4"/>
        <v>1</v>
      </c>
      <c r="K87">
        <f t="shared" si="5"/>
        <v>0</v>
      </c>
    </row>
    <row r="88" spans="1:11" x14ac:dyDescent="0.3">
      <c r="A88">
        <v>87</v>
      </c>
      <c r="B88" s="1">
        <v>45778</v>
      </c>
      <c r="C88" t="s">
        <v>8</v>
      </c>
      <c r="D88" t="str">
        <f>TEXT(Table1[[#This Row],[Date]],"mmm")</f>
        <v>May</v>
      </c>
      <c r="E88">
        <v>25986</v>
      </c>
      <c r="F88">
        <v>11460</v>
      </c>
      <c r="G88">
        <f>Table1[[#This Row],[Algo]]+Table1[[#This Row],[Manual]]</f>
        <v>37446</v>
      </c>
      <c r="H88">
        <f>H87+Table1[[#This Row],[Total Gross P&amp;L]]</f>
        <v>1303092</v>
      </c>
      <c r="I88">
        <f>WEEKNUM(Table1[[#This Row],[Date]])</f>
        <v>18</v>
      </c>
      <c r="J88">
        <f t="shared" si="4"/>
        <v>2</v>
      </c>
      <c r="K88">
        <f t="shared" si="5"/>
        <v>0</v>
      </c>
    </row>
    <row r="89" spans="1:11" x14ac:dyDescent="0.3">
      <c r="A89">
        <v>88</v>
      </c>
      <c r="B89" s="1">
        <v>45779</v>
      </c>
      <c r="C89" t="s">
        <v>9</v>
      </c>
      <c r="D89" t="str">
        <f>TEXT(Table1[[#This Row],[Date]],"mmm")</f>
        <v>May</v>
      </c>
      <c r="E89">
        <v>28538</v>
      </c>
      <c r="F89">
        <v>25757</v>
      </c>
      <c r="G89">
        <f>Table1[[#This Row],[Algo]]+Table1[[#This Row],[Manual]]</f>
        <v>54295</v>
      </c>
      <c r="H89">
        <f>H88+Table1[[#This Row],[Total Gross P&amp;L]]</f>
        <v>1357387</v>
      </c>
      <c r="I89">
        <f>WEEKNUM(Table1[[#This Row],[Date]])</f>
        <v>18</v>
      </c>
      <c r="J89">
        <f t="shared" si="4"/>
        <v>3</v>
      </c>
      <c r="K89">
        <f t="shared" si="5"/>
        <v>0</v>
      </c>
    </row>
    <row r="90" spans="1:11" x14ac:dyDescent="0.3">
      <c r="A90">
        <v>89</v>
      </c>
      <c r="B90" s="1">
        <v>45782</v>
      </c>
      <c r="C90" t="s">
        <v>10</v>
      </c>
      <c r="D90" t="str">
        <f>TEXT(Table1[[#This Row],[Date]],"mmm")</f>
        <v>May</v>
      </c>
      <c r="E90">
        <v>-16180</v>
      </c>
      <c r="F90">
        <v>-6121</v>
      </c>
      <c r="G90">
        <f>Table1[[#This Row],[Algo]]+Table1[[#This Row],[Manual]]</f>
        <v>-22301</v>
      </c>
      <c r="H90">
        <f>H89+Table1[[#This Row],[Total Gross P&amp;L]]</f>
        <v>1335086</v>
      </c>
      <c r="I90">
        <f>WEEKNUM(Table1[[#This Row],[Date]])</f>
        <v>19</v>
      </c>
      <c r="J90">
        <f t="shared" si="4"/>
        <v>0</v>
      </c>
      <c r="K90">
        <f t="shared" si="5"/>
        <v>1</v>
      </c>
    </row>
    <row r="91" spans="1:11" x14ac:dyDescent="0.3">
      <c r="A91">
        <v>90</v>
      </c>
      <c r="B91" s="1">
        <v>45783</v>
      </c>
      <c r="C91" t="s">
        <v>11</v>
      </c>
      <c r="D91" t="str">
        <f>TEXT(Table1[[#This Row],[Date]],"mmm")</f>
        <v>May</v>
      </c>
      <c r="E91">
        <v>-13295</v>
      </c>
      <c r="F91">
        <v>-9206</v>
      </c>
      <c r="G91">
        <f>Table1[[#This Row],[Algo]]+Table1[[#This Row],[Manual]]</f>
        <v>-22501</v>
      </c>
      <c r="H91">
        <f>H90+Table1[[#This Row],[Total Gross P&amp;L]]</f>
        <v>1312585</v>
      </c>
      <c r="I91">
        <f>WEEKNUM(Table1[[#This Row],[Date]])</f>
        <v>19</v>
      </c>
      <c r="J91">
        <f t="shared" si="4"/>
        <v>0</v>
      </c>
      <c r="K91">
        <f t="shared" si="5"/>
        <v>2</v>
      </c>
    </row>
    <row r="92" spans="1:11" x14ac:dyDescent="0.3">
      <c r="A92">
        <v>91</v>
      </c>
      <c r="B92" s="1">
        <v>45784</v>
      </c>
      <c r="C92" t="s">
        <v>7</v>
      </c>
      <c r="D92" t="str">
        <f>TEXT(Table1[[#This Row],[Date]],"mmm")</f>
        <v>May</v>
      </c>
      <c r="E92">
        <v>15696</v>
      </c>
      <c r="F92">
        <v>3509</v>
      </c>
      <c r="G92">
        <f>Table1[[#This Row],[Algo]]+Table1[[#This Row],[Manual]]</f>
        <v>19205</v>
      </c>
      <c r="H92">
        <f>H91+Table1[[#This Row],[Total Gross P&amp;L]]</f>
        <v>1331790</v>
      </c>
      <c r="I92">
        <f>WEEKNUM(Table1[[#This Row],[Date]])</f>
        <v>19</v>
      </c>
      <c r="J92">
        <f t="shared" si="4"/>
        <v>1</v>
      </c>
      <c r="K92">
        <f t="shared" si="5"/>
        <v>0</v>
      </c>
    </row>
    <row r="93" spans="1:11" x14ac:dyDescent="0.3">
      <c r="A93">
        <v>92</v>
      </c>
      <c r="B93" s="1">
        <v>45785</v>
      </c>
      <c r="C93" t="s">
        <v>8</v>
      </c>
      <c r="D93" t="str">
        <f>TEXT(Table1[[#This Row],[Date]],"mmm")</f>
        <v>May</v>
      </c>
      <c r="E93">
        <v>31272</v>
      </c>
      <c r="F93">
        <v>10283</v>
      </c>
      <c r="G93">
        <f>Table1[[#This Row],[Algo]]+Table1[[#This Row],[Manual]]</f>
        <v>41555</v>
      </c>
      <c r="H93">
        <f>H92+Table1[[#This Row],[Total Gross P&amp;L]]</f>
        <v>1373345</v>
      </c>
      <c r="I93">
        <f>WEEKNUM(Table1[[#This Row],[Date]])</f>
        <v>19</v>
      </c>
      <c r="J93">
        <f t="shared" si="4"/>
        <v>2</v>
      </c>
      <c r="K93">
        <f t="shared" si="5"/>
        <v>0</v>
      </c>
    </row>
    <row r="94" spans="1:11" x14ac:dyDescent="0.3">
      <c r="A94">
        <v>93</v>
      </c>
      <c r="B94" s="1">
        <v>45786</v>
      </c>
      <c r="C94" t="s">
        <v>9</v>
      </c>
      <c r="D94" t="str">
        <f>TEXT(Table1[[#This Row],[Date]],"mmm")</f>
        <v>May</v>
      </c>
      <c r="E94">
        <v>11096</v>
      </c>
      <c r="F94">
        <v>9927</v>
      </c>
      <c r="G94">
        <f>Table1[[#This Row],[Algo]]+Table1[[#This Row],[Manual]]</f>
        <v>21023</v>
      </c>
      <c r="H94">
        <f>H93+Table1[[#This Row],[Total Gross P&amp;L]]</f>
        <v>1394368</v>
      </c>
      <c r="I94">
        <f>WEEKNUM(Table1[[#This Row],[Date]])</f>
        <v>19</v>
      </c>
      <c r="J94">
        <f t="shared" si="4"/>
        <v>3</v>
      </c>
      <c r="K94">
        <f t="shared" si="5"/>
        <v>0</v>
      </c>
    </row>
    <row r="95" spans="1:11" x14ac:dyDescent="0.3">
      <c r="A95">
        <v>94</v>
      </c>
      <c r="B95" s="1">
        <v>45789</v>
      </c>
      <c r="C95" t="s">
        <v>10</v>
      </c>
      <c r="D95" t="str">
        <f>TEXT(Table1[[#This Row],[Date]],"mmm")</f>
        <v>May</v>
      </c>
      <c r="E95">
        <v>31962</v>
      </c>
      <c r="F95">
        <v>-15702</v>
      </c>
      <c r="G95">
        <f>Table1[[#This Row],[Algo]]+Table1[[#This Row],[Manual]]</f>
        <v>16260</v>
      </c>
      <c r="H95">
        <f>H94+Table1[[#This Row],[Total Gross P&amp;L]]</f>
        <v>1410628</v>
      </c>
      <c r="I95">
        <f>WEEKNUM(Table1[[#This Row],[Date]])</f>
        <v>20</v>
      </c>
      <c r="J95">
        <f t="shared" si="4"/>
        <v>4</v>
      </c>
      <c r="K95">
        <f t="shared" si="5"/>
        <v>0</v>
      </c>
    </row>
    <row r="96" spans="1:11" x14ac:dyDescent="0.3">
      <c r="A96">
        <v>95</v>
      </c>
      <c r="B96" s="1">
        <v>45790</v>
      </c>
      <c r="C96" t="s">
        <v>11</v>
      </c>
      <c r="D96" t="str">
        <f>TEXT(Table1[[#This Row],[Date]],"mmm")</f>
        <v>May</v>
      </c>
      <c r="E96">
        <v>-13806</v>
      </c>
      <c r="F96">
        <v>-8388</v>
      </c>
      <c r="G96">
        <f>Table1[[#This Row],[Algo]]+Table1[[#This Row],[Manual]]</f>
        <v>-22194</v>
      </c>
      <c r="H96">
        <f>H95+Table1[[#This Row],[Total Gross P&amp;L]]</f>
        <v>1388434</v>
      </c>
      <c r="I96">
        <f>WEEKNUM(Table1[[#This Row],[Date]])</f>
        <v>20</v>
      </c>
      <c r="J96">
        <f t="shared" si="4"/>
        <v>0</v>
      </c>
      <c r="K96">
        <f t="shared" si="5"/>
        <v>1</v>
      </c>
    </row>
    <row r="97" spans="1:11" x14ac:dyDescent="0.3">
      <c r="A97">
        <v>96</v>
      </c>
      <c r="B97" s="1">
        <v>45791</v>
      </c>
      <c r="C97" t="s">
        <v>7</v>
      </c>
      <c r="D97" t="str">
        <f>TEXT(Table1[[#This Row],[Date]],"mmm")</f>
        <v>May</v>
      </c>
      <c r="E97">
        <v>7618</v>
      </c>
      <c r="F97">
        <v>6103</v>
      </c>
      <c r="G97">
        <f>Table1[[#This Row],[Algo]]+Table1[[#This Row],[Manual]]</f>
        <v>13721</v>
      </c>
      <c r="H97">
        <f>H96+Table1[[#This Row],[Total Gross P&amp;L]]</f>
        <v>1402155</v>
      </c>
      <c r="I97">
        <f>WEEKNUM(Table1[[#This Row],[Date]])</f>
        <v>20</v>
      </c>
      <c r="J97">
        <f t="shared" si="4"/>
        <v>1</v>
      </c>
      <c r="K97">
        <f t="shared" si="5"/>
        <v>0</v>
      </c>
    </row>
    <row r="98" spans="1:11" x14ac:dyDescent="0.3">
      <c r="A98">
        <v>97</v>
      </c>
      <c r="B98" s="1">
        <v>45792</v>
      </c>
      <c r="C98" t="s">
        <v>8</v>
      </c>
      <c r="D98" t="str">
        <f>TEXT(Table1[[#This Row],[Date]],"mmm")</f>
        <v>May</v>
      </c>
      <c r="E98">
        <v>-17405</v>
      </c>
      <c r="F98">
        <v>2868</v>
      </c>
      <c r="G98">
        <f>Table1[[#This Row],[Algo]]+Table1[[#This Row],[Manual]]</f>
        <v>-14537</v>
      </c>
      <c r="H98">
        <f>H97+Table1[[#This Row],[Total Gross P&amp;L]]</f>
        <v>1387618</v>
      </c>
      <c r="I98">
        <f>WEEKNUM(Table1[[#This Row],[Date]])</f>
        <v>20</v>
      </c>
      <c r="J98">
        <f t="shared" si="4"/>
        <v>0</v>
      </c>
      <c r="K98">
        <f t="shared" si="5"/>
        <v>1</v>
      </c>
    </row>
    <row r="99" spans="1:11" x14ac:dyDescent="0.3">
      <c r="A99">
        <v>98</v>
      </c>
      <c r="B99" s="1">
        <v>45793</v>
      </c>
      <c r="C99" t="s">
        <v>9</v>
      </c>
      <c r="D99" t="str">
        <f>TEXT(Table1[[#This Row],[Date]],"mmm")</f>
        <v>May</v>
      </c>
      <c r="E99">
        <v>16574</v>
      </c>
      <c r="F99">
        <v>27942</v>
      </c>
      <c r="G99">
        <f>Table1[[#This Row],[Algo]]+Table1[[#This Row],[Manual]]</f>
        <v>44516</v>
      </c>
      <c r="H99">
        <f>H98+Table1[[#This Row],[Total Gross P&amp;L]]</f>
        <v>1432134</v>
      </c>
      <c r="I99">
        <f>WEEKNUM(Table1[[#This Row],[Date]])</f>
        <v>20</v>
      </c>
      <c r="J99">
        <f t="shared" si="4"/>
        <v>1</v>
      </c>
      <c r="K99">
        <f t="shared" si="5"/>
        <v>0</v>
      </c>
    </row>
    <row r="100" spans="1:11" x14ac:dyDescent="0.3">
      <c r="A100">
        <v>99</v>
      </c>
      <c r="B100" s="1">
        <v>45796</v>
      </c>
      <c r="C100" t="s">
        <v>10</v>
      </c>
      <c r="D100" t="str">
        <f>TEXT(Table1[[#This Row],[Date]],"mmm")</f>
        <v>May</v>
      </c>
      <c r="E100">
        <v>661</v>
      </c>
      <c r="F100">
        <v>33796</v>
      </c>
      <c r="G100">
        <f>Table1[[#This Row],[Algo]]+Table1[[#This Row],[Manual]]</f>
        <v>34457</v>
      </c>
      <c r="H100">
        <f>H99+Table1[[#This Row],[Total Gross P&amp;L]]</f>
        <v>1466591</v>
      </c>
      <c r="I100">
        <f>WEEKNUM(Table1[[#This Row],[Date]])</f>
        <v>21</v>
      </c>
      <c r="J100">
        <f t="shared" si="4"/>
        <v>2</v>
      </c>
      <c r="K100">
        <f t="shared" si="5"/>
        <v>0</v>
      </c>
    </row>
    <row r="101" spans="1:11" x14ac:dyDescent="0.3">
      <c r="A101">
        <v>100</v>
      </c>
      <c r="B101" s="1">
        <v>45797</v>
      </c>
      <c r="C101" t="s">
        <v>11</v>
      </c>
      <c r="D101" t="str">
        <f>TEXT(Table1[[#This Row],[Date]],"mmm")</f>
        <v>May</v>
      </c>
      <c r="E101">
        <v>-3663</v>
      </c>
      <c r="F101">
        <v>11455</v>
      </c>
      <c r="G101">
        <f>Table1[[#This Row],[Algo]]+Table1[[#This Row],[Manual]]</f>
        <v>7792</v>
      </c>
      <c r="H101">
        <f>H100+Table1[[#This Row],[Total Gross P&amp;L]]</f>
        <v>1474383</v>
      </c>
      <c r="I101">
        <f>WEEKNUM(Table1[[#This Row],[Date]])</f>
        <v>21</v>
      </c>
      <c r="J101">
        <f t="shared" si="4"/>
        <v>3</v>
      </c>
      <c r="K101">
        <f t="shared" si="5"/>
        <v>0</v>
      </c>
    </row>
    <row r="102" spans="1:11" x14ac:dyDescent="0.3">
      <c r="A102">
        <v>101</v>
      </c>
      <c r="B102" s="1">
        <v>45798</v>
      </c>
      <c r="C102" t="s">
        <v>7</v>
      </c>
      <c r="D102" t="str">
        <f>TEXT(Table1[[#This Row],[Date]],"mmm")</f>
        <v>May</v>
      </c>
      <c r="E102">
        <v>-13386</v>
      </c>
      <c r="F102">
        <v>8342</v>
      </c>
      <c r="G102">
        <f>Table1[[#This Row],[Algo]]+Table1[[#This Row],[Manual]]</f>
        <v>-5044</v>
      </c>
      <c r="H102">
        <f>H101+Table1[[#This Row],[Total Gross P&amp;L]]</f>
        <v>1469339</v>
      </c>
      <c r="I102">
        <f>WEEKNUM(Table1[[#This Row],[Date]])</f>
        <v>21</v>
      </c>
      <c r="J102">
        <f t="shared" si="4"/>
        <v>0</v>
      </c>
      <c r="K102">
        <f t="shared" si="5"/>
        <v>1</v>
      </c>
    </row>
    <row r="103" spans="1:11" x14ac:dyDescent="0.3">
      <c r="A103">
        <v>102</v>
      </c>
      <c r="B103" s="1">
        <v>45799</v>
      </c>
      <c r="C103" t="s">
        <v>8</v>
      </c>
      <c r="D103" t="str">
        <f>TEXT(Table1[[#This Row],[Date]],"mmm")</f>
        <v>May</v>
      </c>
      <c r="E103">
        <v>-7915</v>
      </c>
      <c r="F103">
        <v>11564</v>
      </c>
      <c r="G103">
        <f>Table1[[#This Row],[Algo]]+Table1[[#This Row],[Manual]]</f>
        <v>3649</v>
      </c>
      <c r="H103">
        <f>H102+Table1[[#This Row],[Total Gross P&amp;L]]</f>
        <v>1472988</v>
      </c>
      <c r="I103">
        <f>WEEKNUM(Table1[[#This Row],[Date]])</f>
        <v>21</v>
      </c>
      <c r="J103">
        <f t="shared" si="4"/>
        <v>1</v>
      </c>
      <c r="K103">
        <f t="shared" si="5"/>
        <v>0</v>
      </c>
    </row>
    <row r="104" spans="1:11" x14ac:dyDescent="0.3">
      <c r="A104">
        <v>103</v>
      </c>
      <c r="B104" s="1">
        <v>45800</v>
      </c>
      <c r="C104" t="s">
        <v>9</v>
      </c>
      <c r="D104" t="str">
        <f>TEXT(Table1[[#This Row],[Date]],"mmm")</f>
        <v>May</v>
      </c>
      <c r="E104">
        <v>17362</v>
      </c>
      <c r="F104">
        <v>34335</v>
      </c>
      <c r="G104">
        <f>Table1[[#This Row],[Algo]]+Table1[[#This Row],[Manual]]</f>
        <v>51697</v>
      </c>
      <c r="H104">
        <f>H103+Table1[[#This Row],[Total Gross P&amp;L]]</f>
        <v>1524685</v>
      </c>
      <c r="I104">
        <f>WEEKNUM(Table1[[#This Row],[Date]])</f>
        <v>21</v>
      </c>
      <c r="J104">
        <f t="shared" si="4"/>
        <v>2</v>
      </c>
      <c r="K104">
        <f t="shared" si="5"/>
        <v>0</v>
      </c>
    </row>
    <row r="105" spans="1:11" x14ac:dyDescent="0.3">
      <c r="A105">
        <v>104</v>
      </c>
      <c r="B105" s="1">
        <v>45803</v>
      </c>
      <c r="C105" t="s">
        <v>10</v>
      </c>
      <c r="D105" t="str">
        <f>TEXT(Table1[[#This Row],[Date]],"mmm")</f>
        <v>May</v>
      </c>
      <c r="E105">
        <v>27977</v>
      </c>
      <c r="F105">
        <v>18904</v>
      </c>
      <c r="G105">
        <f>Table1[[#This Row],[Algo]]+Table1[[#This Row],[Manual]]</f>
        <v>46881</v>
      </c>
      <c r="H105">
        <f>H104+Table1[[#This Row],[Total Gross P&amp;L]]</f>
        <v>1571566</v>
      </c>
      <c r="I105">
        <f>WEEKNUM(Table1[[#This Row],[Date]])</f>
        <v>22</v>
      </c>
      <c r="J105">
        <f t="shared" si="4"/>
        <v>3</v>
      </c>
      <c r="K105">
        <f t="shared" si="5"/>
        <v>0</v>
      </c>
    </row>
    <row r="106" spans="1:11" x14ac:dyDescent="0.3">
      <c r="A106">
        <v>105</v>
      </c>
      <c r="B106" s="1">
        <v>45804</v>
      </c>
      <c r="C106" t="s">
        <v>11</v>
      </c>
      <c r="D106" t="str">
        <f>TEXT(Table1[[#This Row],[Date]],"mmm")</f>
        <v>May</v>
      </c>
      <c r="E106">
        <v>20435</v>
      </c>
      <c r="F106">
        <v>21757</v>
      </c>
      <c r="G106">
        <f>Table1[[#This Row],[Algo]]+Table1[[#This Row],[Manual]]</f>
        <v>42192</v>
      </c>
      <c r="H106">
        <f>H105+Table1[[#This Row],[Total Gross P&amp;L]]</f>
        <v>1613758</v>
      </c>
      <c r="I106">
        <f>WEEKNUM(Table1[[#This Row],[Date]])</f>
        <v>22</v>
      </c>
      <c r="J106">
        <f t="shared" si="4"/>
        <v>4</v>
      </c>
      <c r="K106">
        <f t="shared" si="5"/>
        <v>0</v>
      </c>
    </row>
    <row r="107" spans="1:11" x14ac:dyDescent="0.3">
      <c r="A107">
        <v>106</v>
      </c>
      <c r="B107" s="1">
        <v>45805</v>
      </c>
      <c r="C107" t="s">
        <v>7</v>
      </c>
      <c r="D107" t="str">
        <f>TEXT(Table1[[#This Row],[Date]],"mmm")</f>
        <v>May</v>
      </c>
      <c r="E107">
        <v>14058</v>
      </c>
      <c r="F107">
        <v>13861</v>
      </c>
      <c r="G107">
        <f>Table1[[#This Row],[Algo]]+Table1[[#This Row],[Manual]]</f>
        <v>27919</v>
      </c>
      <c r="H107">
        <f>H106+Table1[[#This Row],[Total Gross P&amp;L]]</f>
        <v>1641677</v>
      </c>
      <c r="I107">
        <f>WEEKNUM(Table1[[#This Row],[Date]])</f>
        <v>22</v>
      </c>
      <c r="J107">
        <f t="shared" si="4"/>
        <v>5</v>
      </c>
      <c r="K107">
        <f t="shared" si="5"/>
        <v>0</v>
      </c>
    </row>
    <row r="108" spans="1:11" x14ac:dyDescent="0.3">
      <c r="A108">
        <v>107</v>
      </c>
      <c r="B108" s="1">
        <v>45806</v>
      </c>
      <c r="C108" t="s">
        <v>8</v>
      </c>
      <c r="D108" t="str">
        <f>TEXT(Table1[[#This Row],[Date]],"mmm")</f>
        <v>May</v>
      </c>
      <c r="E108">
        <v>30107</v>
      </c>
      <c r="F108">
        <v>-10364</v>
      </c>
      <c r="G108">
        <f>Table1[[#This Row],[Algo]]+Table1[[#This Row],[Manual]]</f>
        <v>19743</v>
      </c>
      <c r="H108">
        <f>H107+Table1[[#This Row],[Total Gross P&amp;L]]</f>
        <v>1661420</v>
      </c>
      <c r="I108">
        <f>WEEKNUM(Table1[[#This Row],[Date]])</f>
        <v>22</v>
      </c>
      <c r="J108">
        <f t="shared" si="4"/>
        <v>6</v>
      </c>
      <c r="K108">
        <f t="shared" si="5"/>
        <v>0</v>
      </c>
    </row>
    <row r="109" spans="1:11" x14ac:dyDescent="0.3">
      <c r="A109">
        <v>108</v>
      </c>
      <c r="B109" s="1">
        <v>45807</v>
      </c>
      <c r="C109" t="s">
        <v>9</v>
      </c>
      <c r="D109" t="str">
        <f>TEXT(Table1[[#This Row],[Date]],"mmm")</f>
        <v>May</v>
      </c>
      <c r="E109">
        <v>24187</v>
      </c>
      <c r="F109">
        <v>-2847</v>
      </c>
      <c r="G109">
        <f>Table1[[#This Row],[Algo]]+Table1[[#This Row],[Manual]]</f>
        <v>21340</v>
      </c>
      <c r="H109">
        <f>H108+Table1[[#This Row],[Total Gross P&amp;L]]</f>
        <v>1682760</v>
      </c>
      <c r="I109">
        <f>WEEKNUM(Table1[[#This Row],[Date]])</f>
        <v>22</v>
      </c>
      <c r="J109">
        <f t="shared" si="4"/>
        <v>7</v>
      </c>
      <c r="K109">
        <f t="shared" si="5"/>
        <v>0</v>
      </c>
    </row>
    <row r="110" spans="1:11" x14ac:dyDescent="0.3">
      <c r="A110">
        <v>109</v>
      </c>
      <c r="B110" s="1">
        <v>45810</v>
      </c>
      <c r="C110" t="s">
        <v>10</v>
      </c>
      <c r="D110" t="str">
        <f>TEXT(Table1[[#This Row],[Date]],"mmm")</f>
        <v>Jun</v>
      </c>
      <c r="E110">
        <v>20416</v>
      </c>
      <c r="F110">
        <v>26311</v>
      </c>
      <c r="G110">
        <f>Table1[[#This Row],[Algo]]+Table1[[#This Row],[Manual]]</f>
        <v>46727</v>
      </c>
      <c r="H110">
        <f>H109+Table1[[#This Row],[Total Gross P&amp;L]]</f>
        <v>1729487</v>
      </c>
      <c r="I110">
        <f>WEEKNUM(Table1[[#This Row],[Date]])</f>
        <v>23</v>
      </c>
      <c r="J110">
        <f t="shared" si="4"/>
        <v>8</v>
      </c>
      <c r="K110">
        <f t="shared" si="5"/>
        <v>0</v>
      </c>
    </row>
    <row r="111" spans="1:11" x14ac:dyDescent="0.3">
      <c r="A111">
        <v>110</v>
      </c>
      <c r="B111" s="1">
        <v>45811</v>
      </c>
      <c r="C111" t="s">
        <v>11</v>
      </c>
      <c r="D111" t="str">
        <f>TEXT(Table1[[#This Row],[Date]],"mmm")</f>
        <v>Jun</v>
      </c>
      <c r="E111">
        <v>18956</v>
      </c>
      <c r="F111">
        <v>27392</v>
      </c>
      <c r="G111">
        <f>Table1[[#This Row],[Algo]]+Table1[[#This Row],[Manual]]</f>
        <v>46348</v>
      </c>
      <c r="H111">
        <f>H110+Table1[[#This Row],[Total Gross P&amp;L]]</f>
        <v>1775835</v>
      </c>
      <c r="I111">
        <f>WEEKNUM(Table1[[#This Row],[Date]])</f>
        <v>23</v>
      </c>
      <c r="J111">
        <f t="shared" si="4"/>
        <v>9</v>
      </c>
      <c r="K111">
        <f t="shared" si="5"/>
        <v>0</v>
      </c>
    </row>
    <row r="112" spans="1:11" x14ac:dyDescent="0.3">
      <c r="A112">
        <v>111</v>
      </c>
      <c r="B112" s="1">
        <v>45812</v>
      </c>
      <c r="C112" t="s">
        <v>7</v>
      </c>
      <c r="D112" t="str">
        <f>TEXT(Table1[[#This Row],[Date]],"mmm")</f>
        <v>Jun</v>
      </c>
      <c r="E112">
        <v>-19382</v>
      </c>
      <c r="F112">
        <v>13834</v>
      </c>
      <c r="G112">
        <f>Table1[[#This Row],[Algo]]+Table1[[#This Row],[Manual]]</f>
        <v>-5548</v>
      </c>
      <c r="H112">
        <f>H111+Table1[[#This Row],[Total Gross P&amp;L]]</f>
        <v>1770287</v>
      </c>
      <c r="I112">
        <f>WEEKNUM(Table1[[#This Row],[Date]])</f>
        <v>23</v>
      </c>
      <c r="J112">
        <f t="shared" si="4"/>
        <v>0</v>
      </c>
      <c r="K112">
        <f t="shared" si="5"/>
        <v>1</v>
      </c>
    </row>
    <row r="113" spans="1:11" x14ac:dyDescent="0.3">
      <c r="A113">
        <v>112</v>
      </c>
      <c r="B113" s="1">
        <v>45813</v>
      </c>
      <c r="C113" t="s">
        <v>8</v>
      </c>
      <c r="D113" t="str">
        <f>TEXT(Table1[[#This Row],[Date]],"mmm")</f>
        <v>Jun</v>
      </c>
      <c r="E113">
        <v>-10696</v>
      </c>
      <c r="F113">
        <v>18004</v>
      </c>
      <c r="G113">
        <f>Table1[[#This Row],[Algo]]+Table1[[#This Row],[Manual]]</f>
        <v>7308</v>
      </c>
      <c r="H113">
        <f>H112+Table1[[#This Row],[Total Gross P&amp;L]]</f>
        <v>1777595</v>
      </c>
      <c r="I113">
        <f>WEEKNUM(Table1[[#This Row],[Date]])</f>
        <v>23</v>
      </c>
      <c r="J113">
        <f t="shared" si="4"/>
        <v>1</v>
      </c>
      <c r="K113">
        <f t="shared" si="5"/>
        <v>0</v>
      </c>
    </row>
    <row r="114" spans="1:11" x14ac:dyDescent="0.3">
      <c r="A114">
        <v>113</v>
      </c>
      <c r="B114" s="1">
        <v>45814</v>
      </c>
      <c r="C114" t="s">
        <v>9</v>
      </c>
      <c r="D114" t="str">
        <f>TEXT(Table1[[#This Row],[Date]],"mmm")</f>
        <v>Jun</v>
      </c>
      <c r="E114">
        <v>-3448</v>
      </c>
      <c r="F114">
        <v>7516</v>
      </c>
      <c r="G114">
        <f>Table1[[#This Row],[Algo]]+Table1[[#This Row],[Manual]]</f>
        <v>4068</v>
      </c>
      <c r="H114">
        <f>H113+Table1[[#This Row],[Total Gross P&amp;L]]</f>
        <v>1781663</v>
      </c>
      <c r="I114">
        <f>WEEKNUM(Table1[[#This Row],[Date]])</f>
        <v>23</v>
      </c>
      <c r="J114">
        <f t="shared" si="4"/>
        <v>2</v>
      </c>
      <c r="K114">
        <f t="shared" si="5"/>
        <v>0</v>
      </c>
    </row>
    <row r="115" spans="1:11" x14ac:dyDescent="0.3">
      <c r="A115">
        <v>114</v>
      </c>
      <c r="B115" s="1">
        <v>45817</v>
      </c>
      <c r="C115" t="s">
        <v>10</v>
      </c>
      <c r="D115" t="str">
        <f>TEXT(Table1[[#This Row],[Date]],"mmm")</f>
        <v>Jun</v>
      </c>
      <c r="E115">
        <v>29029</v>
      </c>
      <c r="F115">
        <v>27618</v>
      </c>
      <c r="G115">
        <f>Table1[[#This Row],[Algo]]+Table1[[#This Row],[Manual]]</f>
        <v>56647</v>
      </c>
      <c r="H115">
        <f>H114+Table1[[#This Row],[Total Gross P&amp;L]]</f>
        <v>1838310</v>
      </c>
      <c r="I115">
        <f>WEEKNUM(Table1[[#This Row],[Date]])</f>
        <v>24</v>
      </c>
      <c r="J115">
        <f t="shared" si="4"/>
        <v>3</v>
      </c>
      <c r="K115">
        <f t="shared" si="5"/>
        <v>0</v>
      </c>
    </row>
    <row r="116" spans="1:11" x14ac:dyDescent="0.3">
      <c r="A116">
        <v>115</v>
      </c>
      <c r="B116" s="1">
        <v>45818</v>
      </c>
      <c r="C116" t="s">
        <v>11</v>
      </c>
      <c r="D116" t="str">
        <f>TEXT(Table1[[#This Row],[Date]],"mmm")</f>
        <v>Jun</v>
      </c>
      <c r="E116">
        <v>735</v>
      </c>
      <c r="F116">
        <v>22692</v>
      </c>
      <c r="G116">
        <f>Table1[[#This Row],[Algo]]+Table1[[#This Row],[Manual]]</f>
        <v>23427</v>
      </c>
      <c r="H116">
        <f>H115+Table1[[#This Row],[Total Gross P&amp;L]]</f>
        <v>1861737</v>
      </c>
      <c r="I116">
        <f>WEEKNUM(Table1[[#This Row],[Date]])</f>
        <v>24</v>
      </c>
      <c r="J116">
        <f t="shared" si="4"/>
        <v>4</v>
      </c>
      <c r="K116">
        <f t="shared" si="5"/>
        <v>0</v>
      </c>
    </row>
    <row r="117" spans="1:11" x14ac:dyDescent="0.3">
      <c r="A117">
        <v>116</v>
      </c>
      <c r="B117" s="1">
        <v>45819</v>
      </c>
      <c r="C117" t="s">
        <v>7</v>
      </c>
      <c r="D117" t="str">
        <f>TEXT(Table1[[#This Row],[Date]],"mmm")</f>
        <v>Jun</v>
      </c>
      <c r="E117">
        <v>-5597</v>
      </c>
      <c r="F117">
        <v>-14908</v>
      </c>
      <c r="G117">
        <f>Table1[[#This Row],[Algo]]+Table1[[#This Row],[Manual]]</f>
        <v>-20505</v>
      </c>
      <c r="H117">
        <f>H116+Table1[[#This Row],[Total Gross P&amp;L]]</f>
        <v>1841232</v>
      </c>
      <c r="I117">
        <f>WEEKNUM(Table1[[#This Row],[Date]])</f>
        <v>24</v>
      </c>
      <c r="J117">
        <f t="shared" si="4"/>
        <v>0</v>
      </c>
      <c r="K117">
        <f t="shared" si="5"/>
        <v>1</v>
      </c>
    </row>
    <row r="118" spans="1:11" x14ac:dyDescent="0.3">
      <c r="A118">
        <v>117</v>
      </c>
      <c r="B118" s="1">
        <v>45820</v>
      </c>
      <c r="C118" t="s">
        <v>8</v>
      </c>
      <c r="D118" t="str">
        <f>TEXT(Table1[[#This Row],[Date]],"mmm")</f>
        <v>Jun</v>
      </c>
      <c r="E118">
        <v>29009</v>
      </c>
      <c r="F118">
        <v>-15432</v>
      </c>
      <c r="G118">
        <f>Table1[[#This Row],[Algo]]+Table1[[#This Row],[Manual]]</f>
        <v>13577</v>
      </c>
      <c r="H118">
        <f>H117+Table1[[#This Row],[Total Gross P&amp;L]]</f>
        <v>1854809</v>
      </c>
      <c r="I118">
        <f>WEEKNUM(Table1[[#This Row],[Date]])</f>
        <v>24</v>
      </c>
      <c r="J118">
        <f t="shared" si="4"/>
        <v>1</v>
      </c>
      <c r="K118">
        <f t="shared" si="5"/>
        <v>0</v>
      </c>
    </row>
    <row r="119" spans="1:11" x14ac:dyDescent="0.3">
      <c r="A119">
        <v>118</v>
      </c>
      <c r="B119" s="1">
        <v>45821</v>
      </c>
      <c r="C119" t="s">
        <v>9</v>
      </c>
      <c r="D119" t="str">
        <f>TEXT(Table1[[#This Row],[Date]],"mmm")</f>
        <v>Jun</v>
      </c>
      <c r="E119">
        <v>3057</v>
      </c>
      <c r="F119">
        <v>25233</v>
      </c>
      <c r="G119">
        <f>Table1[[#This Row],[Algo]]+Table1[[#This Row],[Manual]]</f>
        <v>28290</v>
      </c>
      <c r="H119">
        <f>H118+Table1[[#This Row],[Total Gross P&amp;L]]</f>
        <v>1883099</v>
      </c>
      <c r="I119">
        <f>WEEKNUM(Table1[[#This Row],[Date]])</f>
        <v>24</v>
      </c>
      <c r="J119">
        <f t="shared" si="4"/>
        <v>2</v>
      </c>
      <c r="K119">
        <f t="shared" si="5"/>
        <v>0</v>
      </c>
    </row>
    <row r="120" spans="1:11" x14ac:dyDescent="0.3">
      <c r="A120">
        <v>119</v>
      </c>
      <c r="B120" s="1">
        <v>45824</v>
      </c>
      <c r="C120" t="s">
        <v>10</v>
      </c>
      <c r="D120" t="str">
        <f>TEXT(Table1[[#This Row],[Date]],"mmm")</f>
        <v>Jun</v>
      </c>
      <c r="E120">
        <v>-12720</v>
      </c>
      <c r="F120">
        <v>-6985</v>
      </c>
      <c r="G120">
        <f>Table1[[#This Row],[Algo]]+Table1[[#This Row],[Manual]]</f>
        <v>-19705</v>
      </c>
      <c r="H120">
        <f>H119+Table1[[#This Row],[Total Gross P&amp;L]]</f>
        <v>1863394</v>
      </c>
      <c r="I120">
        <f>WEEKNUM(Table1[[#This Row],[Date]])</f>
        <v>25</v>
      </c>
      <c r="J120">
        <f t="shared" si="4"/>
        <v>0</v>
      </c>
      <c r="K120">
        <f t="shared" si="5"/>
        <v>1</v>
      </c>
    </row>
    <row r="121" spans="1:11" x14ac:dyDescent="0.3">
      <c r="A121">
        <v>120</v>
      </c>
      <c r="B121" s="1">
        <v>45825</v>
      </c>
      <c r="C121" t="s">
        <v>11</v>
      </c>
      <c r="D121" t="str">
        <f>TEXT(Table1[[#This Row],[Date]],"mmm")</f>
        <v>Jun</v>
      </c>
      <c r="E121">
        <v>-13059</v>
      </c>
      <c r="F121">
        <v>33017</v>
      </c>
      <c r="G121">
        <f>Table1[[#This Row],[Algo]]+Table1[[#This Row],[Manual]]</f>
        <v>19958</v>
      </c>
      <c r="H121">
        <f>H120+Table1[[#This Row],[Total Gross P&amp;L]]</f>
        <v>1883352</v>
      </c>
      <c r="I121">
        <f>WEEKNUM(Table1[[#This Row],[Date]])</f>
        <v>25</v>
      </c>
      <c r="J121">
        <f t="shared" si="4"/>
        <v>1</v>
      </c>
      <c r="K121">
        <f t="shared" si="5"/>
        <v>0</v>
      </c>
    </row>
    <row r="122" spans="1:11" x14ac:dyDescent="0.3">
      <c r="A122">
        <v>121</v>
      </c>
      <c r="B122" s="1">
        <v>45826</v>
      </c>
      <c r="C122" t="s">
        <v>7</v>
      </c>
      <c r="D122" t="str">
        <f>TEXT(Table1[[#This Row],[Date]],"mmm")</f>
        <v>Jun</v>
      </c>
      <c r="E122">
        <v>5436</v>
      </c>
      <c r="F122">
        <v>25743</v>
      </c>
      <c r="G122">
        <f>Table1[[#This Row],[Algo]]+Table1[[#This Row],[Manual]]</f>
        <v>31179</v>
      </c>
      <c r="H122">
        <f>H121+Table1[[#This Row],[Total Gross P&amp;L]]</f>
        <v>1914531</v>
      </c>
      <c r="I122">
        <f>WEEKNUM(Table1[[#This Row],[Date]])</f>
        <v>25</v>
      </c>
      <c r="J122">
        <f t="shared" si="4"/>
        <v>2</v>
      </c>
      <c r="K122">
        <f t="shared" si="5"/>
        <v>0</v>
      </c>
    </row>
    <row r="123" spans="1:11" x14ac:dyDescent="0.3">
      <c r="A123">
        <v>122</v>
      </c>
      <c r="B123" s="1">
        <v>45827</v>
      </c>
      <c r="C123" t="s">
        <v>8</v>
      </c>
      <c r="D123" t="str">
        <f>TEXT(Table1[[#This Row],[Date]],"mmm")</f>
        <v>Jun</v>
      </c>
      <c r="E123">
        <v>19510</v>
      </c>
      <c r="F123">
        <v>-9157</v>
      </c>
      <c r="G123">
        <f>Table1[[#This Row],[Algo]]+Table1[[#This Row],[Manual]]</f>
        <v>10353</v>
      </c>
      <c r="H123">
        <f>H122+Table1[[#This Row],[Total Gross P&amp;L]]</f>
        <v>1924884</v>
      </c>
      <c r="I123">
        <f>WEEKNUM(Table1[[#This Row],[Date]])</f>
        <v>25</v>
      </c>
      <c r="J123">
        <f t="shared" si="4"/>
        <v>3</v>
      </c>
      <c r="K123">
        <f t="shared" si="5"/>
        <v>0</v>
      </c>
    </row>
    <row r="124" spans="1:11" x14ac:dyDescent="0.3">
      <c r="A124">
        <v>123</v>
      </c>
      <c r="B124" s="1">
        <v>45828</v>
      </c>
      <c r="C124" t="s">
        <v>9</v>
      </c>
      <c r="D124" t="str">
        <f>TEXT(Table1[[#This Row],[Date]],"mmm")</f>
        <v>Jun</v>
      </c>
      <c r="E124">
        <v>27375</v>
      </c>
      <c r="F124">
        <v>15501</v>
      </c>
      <c r="G124">
        <f>Table1[[#This Row],[Algo]]+Table1[[#This Row],[Manual]]</f>
        <v>42876</v>
      </c>
      <c r="H124">
        <f>H123+Table1[[#This Row],[Total Gross P&amp;L]]</f>
        <v>1967760</v>
      </c>
      <c r="I124">
        <f>WEEKNUM(Table1[[#This Row],[Date]])</f>
        <v>25</v>
      </c>
      <c r="J124">
        <f t="shared" si="4"/>
        <v>4</v>
      </c>
      <c r="K124">
        <f t="shared" si="5"/>
        <v>0</v>
      </c>
    </row>
    <row r="125" spans="1:11" x14ac:dyDescent="0.3">
      <c r="A125">
        <v>124</v>
      </c>
      <c r="B125" s="1">
        <v>45831</v>
      </c>
      <c r="C125" t="s">
        <v>10</v>
      </c>
      <c r="D125" t="str">
        <f>TEXT(Table1[[#This Row],[Date]],"mmm")</f>
        <v>Jun</v>
      </c>
      <c r="E125">
        <v>17128</v>
      </c>
      <c r="F125">
        <v>-7855</v>
      </c>
      <c r="G125">
        <f>Table1[[#This Row],[Algo]]+Table1[[#This Row],[Manual]]</f>
        <v>9273</v>
      </c>
      <c r="H125">
        <f>H124+Table1[[#This Row],[Total Gross P&amp;L]]</f>
        <v>1977033</v>
      </c>
      <c r="I125">
        <f>WEEKNUM(Table1[[#This Row],[Date]])</f>
        <v>26</v>
      </c>
      <c r="J125">
        <f t="shared" si="4"/>
        <v>5</v>
      </c>
      <c r="K125">
        <f t="shared" si="5"/>
        <v>0</v>
      </c>
    </row>
    <row r="126" spans="1:11" x14ac:dyDescent="0.3">
      <c r="A126">
        <v>125</v>
      </c>
      <c r="B126" s="1">
        <v>45832</v>
      </c>
      <c r="C126" t="s">
        <v>11</v>
      </c>
      <c r="D126" t="str">
        <f>TEXT(Table1[[#This Row],[Date]],"mmm")</f>
        <v>Jun</v>
      </c>
      <c r="E126">
        <v>26487</v>
      </c>
      <c r="F126">
        <v>5112</v>
      </c>
      <c r="G126">
        <f>Table1[[#This Row],[Algo]]+Table1[[#This Row],[Manual]]</f>
        <v>31599</v>
      </c>
      <c r="H126">
        <f>H125+Table1[[#This Row],[Total Gross P&amp;L]]</f>
        <v>2008632</v>
      </c>
      <c r="I126">
        <f>WEEKNUM(Table1[[#This Row],[Date]])</f>
        <v>26</v>
      </c>
      <c r="J126">
        <f t="shared" si="4"/>
        <v>6</v>
      </c>
      <c r="K126">
        <f t="shared" si="5"/>
        <v>0</v>
      </c>
    </row>
    <row r="127" spans="1:11" x14ac:dyDescent="0.3">
      <c r="A127">
        <v>126</v>
      </c>
      <c r="B127" s="1">
        <v>45833</v>
      </c>
      <c r="C127" t="s">
        <v>7</v>
      </c>
      <c r="D127" t="str">
        <f>TEXT(Table1[[#This Row],[Date]],"mmm")</f>
        <v>Jun</v>
      </c>
      <c r="E127">
        <v>-9944</v>
      </c>
      <c r="F127">
        <v>-1286</v>
      </c>
      <c r="G127">
        <f>Table1[[#This Row],[Algo]]+Table1[[#This Row],[Manual]]</f>
        <v>-11230</v>
      </c>
      <c r="H127">
        <f>H126+Table1[[#This Row],[Total Gross P&amp;L]]</f>
        <v>1997402</v>
      </c>
      <c r="I127">
        <f>WEEKNUM(Table1[[#This Row],[Date]])</f>
        <v>26</v>
      </c>
      <c r="J127">
        <f t="shared" si="4"/>
        <v>0</v>
      </c>
      <c r="K127">
        <f t="shared" si="5"/>
        <v>1</v>
      </c>
    </row>
    <row r="128" spans="1:11" x14ac:dyDescent="0.3">
      <c r="A128">
        <v>127</v>
      </c>
      <c r="B128" s="1">
        <v>45834</v>
      </c>
      <c r="C128" t="s">
        <v>8</v>
      </c>
      <c r="D128" t="str">
        <f>TEXT(Table1[[#This Row],[Date]],"mmm")</f>
        <v>Jun</v>
      </c>
      <c r="E128">
        <v>18165</v>
      </c>
      <c r="F128">
        <v>-9541</v>
      </c>
      <c r="G128">
        <f>Table1[[#This Row],[Algo]]+Table1[[#This Row],[Manual]]</f>
        <v>8624</v>
      </c>
      <c r="H128">
        <f>H127+Table1[[#This Row],[Total Gross P&amp;L]]</f>
        <v>2006026</v>
      </c>
      <c r="I128">
        <f>WEEKNUM(Table1[[#This Row],[Date]])</f>
        <v>26</v>
      </c>
      <c r="J128">
        <f t="shared" si="4"/>
        <v>1</v>
      </c>
      <c r="K128">
        <f t="shared" si="5"/>
        <v>0</v>
      </c>
    </row>
    <row r="129" spans="1:11" x14ac:dyDescent="0.3">
      <c r="A129">
        <v>128</v>
      </c>
      <c r="B129" s="1">
        <v>45835</v>
      </c>
      <c r="C129" t="s">
        <v>9</v>
      </c>
      <c r="D129" t="str">
        <f>TEXT(Table1[[#This Row],[Date]],"mmm")</f>
        <v>Jun</v>
      </c>
      <c r="E129">
        <v>-14666</v>
      </c>
      <c r="F129">
        <v>3135</v>
      </c>
      <c r="G129">
        <f>Table1[[#This Row],[Algo]]+Table1[[#This Row],[Manual]]</f>
        <v>-11531</v>
      </c>
      <c r="H129">
        <f>H128+Table1[[#This Row],[Total Gross P&amp;L]]</f>
        <v>1994495</v>
      </c>
      <c r="I129">
        <f>WEEKNUM(Table1[[#This Row],[Date]])</f>
        <v>26</v>
      </c>
      <c r="J129">
        <f t="shared" si="4"/>
        <v>0</v>
      </c>
      <c r="K129">
        <f t="shared" si="5"/>
        <v>1</v>
      </c>
    </row>
    <row r="130" spans="1:11" x14ac:dyDescent="0.3">
      <c r="A130">
        <v>129</v>
      </c>
      <c r="B130" s="1">
        <v>45838</v>
      </c>
      <c r="C130" t="s">
        <v>10</v>
      </c>
      <c r="D130" t="str">
        <f>TEXT(Table1[[#This Row],[Date]],"mmm")</f>
        <v>Jun</v>
      </c>
      <c r="E130">
        <v>-5611</v>
      </c>
      <c r="F130">
        <v>3707</v>
      </c>
      <c r="G130">
        <f>Table1[[#This Row],[Algo]]+Table1[[#This Row],[Manual]]</f>
        <v>-1904</v>
      </c>
      <c r="H130">
        <f>H129+Table1[[#This Row],[Total Gross P&amp;L]]</f>
        <v>1992591</v>
      </c>
      <c r="I130">
        <f>WEEKNUM(Table1[[#This Row],[Date]])</f>
        <v>27</v>
      </c>
      <c r="J130">
        <f t="shared" si="4"/>
        <v>0</v>
      </c>
      <c r="K130">
        <f t="shared" si="5"/>
        <v>2</v>
      </c>
    </row>
    <row r="131" spans="1:11" x14ac:dyDescent="0.3">
      <c r="A131">
        <v>130</v>
      </c>
      <c r="B131" s="1">
        <v>45839</v>
      </c>
      <c r="C131" t="s">
        <v>11</v>
      </c>
      <c r="D131" t="str">
        <f>TEXT(Table1[[#This Row],[Date]],"mmm")</f>
        <v>Jul</v>
      </c>
      <c r="E131">
        <v>-19923</v>
      </c>
      <c r="F131">
        <v>16487</v>
      </c>
      <c r="G131">
        <f>Table1[[#This Row],[Algo]]+Table1[[#This Row],[Manual]]</f>
        <v>-3436</v>
      </c>
      <c r="H131">
        <f>H130+Table1[[#This Row],[Total Gross P&amp;L]]</f>
        <v>1989155</v>
      </c>
      <c r="I131">
        <f>WEEKNUM(Table1[[#This Row],[Date]])</f>
        <v>27</v>
      </c>
      <c r="J131">
        <f t="shared" si="4"/>
        <v>0</v>
      </c>
      <c r="K131">
        <f t="shared" si="5"/>
        <v>3</v>
      </c>
    </row>
    <row r="132" spans="1:11" x14ac:dyDescent="0.3">
      <c r="A132">
        <v>131</v>
      </c>
      <c r="B132" s="1">
        <v>45840</v>
      </c>
      <c r="C132" t="s">
        <v>7</v>
      </c>
      <c r="D132" t="str">
        <f>TEXT(Table1[[#This Row],[Date]],"mmm")</f>
        <v>Jul</v>
      </c>
      <c r="E132">
        <v>8314</v>
      </c>
      <c r="F132">
        <v>33421</v>
      </c>
      <c r="G132">
        <f>Table1[[#This Row],[Algo]]+Table1[[#This Row],[Manual]]</f>
        <v>41735</v>
      </c>
      <c r="H132">
        <f>H131+Table1[[#This Row],[Total Gross P&amp;L]]</f>
        <v>2030890</v>
      </c>
      <c r="I132">
        <f>WEEKNUM(Table1[[#This Row],[Date]])</f>
        <v>27</v>
      </c>
      <c r="J132">
        <f t="shared" ref="J132:J195" si="6">IF(G132&gt;0,J131+1,0)</f>
        <v>1</v>
      </c>
      <c r="K132">
        <f t="shared" si="5"/>
        <v>0</v>
      </c>
    </row>
    <row r="133" spans="1:11" x14ac:dyDescent="0.3">
      <c r="A133">
        <v>132</v>
      </c>
      <c r="B133" s="1">
        <v>45841</v>
      </c>
      <c r="C133" t="s">
        <v>8</v>
      </c>
      <c r="D133" t="str">
        <f>TEXT(Table1[[#This Row],[Date]],"mmm")</f>
        <v>Jul</v>
      </c>
      <c r="E133">
        <v>20763</v>
      </c>
      <c r="F133">
        <v>23791</v>
      </c>
      <c r="G133">
        <f>Table1[[#This Row],[Algo]]+Table1[[#This Row],[Manual]]</f>
        <v>44554</v>
      </c>
      <c r="H133">
        <f>H132+Table1[[#This Row],[Total Gross P&amp;L]]</f>
        <v>2075444</v>
      </c>
      <c r="I133">
        <f>WEEKNUM(Table1[[#This Row],[Date]])</f>
        <v>27</v>
      </c>
      <c r="J133">
        <f t="shared" si="6"/>
        <v>2</v>
      </c>
      <c r="K133">
        <f t="shared" ref="K133:K196" si="7">IF(G133&lt;0,K132+1,0)</f>
        <v>0</v>
      </c>
    </row>
    <row r="134" spans="1:11" x14ac:dyDescent="0.3">
      <c r="A134">
        <v>133</v>
      </c>
      <c r="B134" s="1">
        <v>45842</v>
      </c>
      <c r="C134" t="s">
        <v>9</v>
      </c>
      <c r="D134" t="str">
        <f>TEXT(Table1[[#This Row],[Date]],"mmm")</f>
        <v>Jul</v>
      </c>
      <c r="E134">
        <v>32855</v>
      </c>
      <c r="F134">
        <v>28385</v>
      </c>
      <c r="G134">
        <f>Table1[[#This Row],[Algo]]+Table1[[#This Row],[Manual]]</f>
        <v>61240</v>
      </c>
      <c r="H134">
        <f>H133+Table1[[#This Row],[Total Gross P&amp;L]]</f>
        <v>2136684</v>
      </c>
      <c r="I134">
        <f>WEEKNUM(Table1[[#This Row],[Date]])</f>
        <v>27</v>
      </c>
      <c r="J134">
        <f t="shared" si="6"/>
        <v>3</v>
      </c>
      <c r="K134">
        <f t="shared" si="7"/>
        <v>0</v>
      </c>
    </row>
    <row r="135" spans="1:11" x14ac:dyDescent="0.3">
      <c r="A135">
        <v>134</v>
      </c>
      <c r="B135" s="1">
        <v>45845</v>
      </c>
      <c r="C135" t="s">
        <v>10</v>
      </c>
      <c r="D135" t="str">
        <f>TEXT(Table1[[#This Row],[Date]],"mmm")</f>
        <v>Jul</v>
      </c>
      <c r="E135">
        <v>25665</v>
      </c>
      <c r="F135">
        <v>20167</v>
      </c>
      <c r="G135">
        <f>Table1[[#This Row],[Algo]]+Table1[[#This Row],[Manual]]</f>
        <v>45832</v>
      </c>
      <c r="H135">
        <f>H134+Table1[[#This Row],[Total Gross P&amp;L]]</f>
        <v>2182516</v>
      </c>
      <c r="I135">
        <f>WEEKNUM(Table1[[#This Row],[Date]])</f>
        <v>28</v>
      </c>
      <c r="J135">
        <f t="shared" si="6"/>
        <v>4</v>
      </c>
      <c r="K135">
        <f t="shared" si="7"/>
        <v>0</v>
      </c>
    </row>
    <row r="136" spans="1:11" x14ac:dyDescent="0.3">
      <c r="A136">
        <v>135</v>
      </c>
      <c r="B136" s="1">
        <v>45846</v>
      </c>
      <c r="C136" t="s">
        <v>11</v>
      </c>
      <c r="D136" t="str">
        <f>TEXT(Table1[[#This Row],[Date]],"mmm")</f>
        <v>Jul</v>
      </c>
      <c r="E136">
        <v>-1711</v>
      </c>
      <c r="F136">
        <v>17257</v>
      </c>
      <c r="G136">
        <f>Table1[[#This Row],[Algo]]+Table1[[#This Row],[Manual]]</f>
        <v>15546</v>
      </c>
      <c r="H136">
        <f>H135+Table1[[#This Row],[Total Gross P&amp;L]]</f>
        <v>2198062</v>
      </c>
      <c r="I136">
        <f>WEEKNUM(Table1[[#This Row],[Date]])</f>
        <v>28</v>
      </c>
      <c r="J136">
        <f t="shared" si="6"/>
        <v>5</v>
      </c>
      <c r="K136">
        <f t="shared" si="7"/>
        <v>0</v>
      </c>
    </row>
    <row r="137" spans="1:11" x14ac:dyDescent="0.3">
      <c r="A137">
        <v>136</v>
      </c>
      <c r="B137" s="1">
        <v>45847</v>
      </c>
      <c r="C137" t="s">
        <v>7</v>
      </c>
      <c r="D137" t="str">
        <f>TEXT(Table1[[#This Row],[Date]],"mmm")</f>
        <v>Jul</v>
      </c>
      <c r="E137">
        <v>-13463</v>
      </c>
      <c r="F137">
        <v>-7985</v>
      </c>
      <c r="G137">
        <f>Table1[[#This Row],[Algo]]+Table1[[#This Row],[Manual]]</f>
        <v>-21448</v>
      </c>
      <c r="H137">
        <f>H136+Table1[[#This Row],[Total Gross P&amp;L]]</f>
        <v>2176614</v>
      </c>
      <c r="I137">
        <f>WEEKNUM(Table1[[#This Row],[Date]])</f>
        <v>28</v>
      </c>
      <c r="J137">
        <f t="shared" si="6"/>
        <v>0</v>
      </c>
      <c r="K137">
        <f t="shared" si="7"/>
        <v>1</v>
      </c>
    </row>
    <row r="138" spans="1:11" x14ac:dyDescent="0.3">
      <c r="A138">
        <v>137</v>
      </c>
      <c r="B138" s="1">
        <v>45848</v>
      </c>
      <c r="C138" t="s">
        <v>8</v>
      </c>
      <c r="D138" t="str">
        <f>TEXT(Table1[[#This Row],[Date]],"mmm")</f>
        <v>Jul</v>
      </c>
      <c r="E138">
        <v>-12149</v>
      </c>
      <c r="F138">
        <v>-3598</v>
      </c>
      <c r="G138">
        <f>Table1[[#This Row],[Algo]]+Table1[[#This Row],[Manual]]</f>
        <v>-15747</v>
      </c>
      <c r="H138">
        <f>H137+Table1[[#This Row],[Total Gross P&amp;L]]</f>
        <v>2160867</v>
      </c>
      <c r="I138">
        <f>WEEKNUM(Table1[[#This Row],[Date]])</f>
        <v>28</v>
      </c>
      <c r="J138">
        <f t="shared" si="6"/>
        <v>0</v>
      </c>
      <c r="K138">
        <f t="shared" si="7"/>
        <v>2</v>
      </c>
    </row>
    <row r="139" spans="1:11" x14ac:dyDescent="0.3">
      <c r="A139">
        <v>138</v>
      </c>
      <c r="B139" s="1">
        <v>45849</v>
      </c>
      <c r="C139" t="s">
        <v>9</v>
      </c>
      <c r="D139" t="str">
        <f>TEXT(Table1[[#This Row],[Date]],"mmm")</f>
        <v>Jul</v>
      </c>
      <c r="E139">
        <v>4014</v>
      </c>
      <c r="F139">
        <v>-3012</v>
      </c>
      <c r="G139">
        <f>Table1[[#This Row],[Algo]]+Table1[[#This Row],[Manual]]</f>
        <v>1002</v>
      </c>
      <c r="H139">
        <f>H138+Table1[[#This Row],[Total Gross P&amp;L]]</f>
        <v>2161869</v>
      </c>
      <c r="I139">
        <f>WEEKNUM(Table1[[#This Row],[Date]])</f>
        <v>28</v>
      </c>
      <c r="J139">
        <f t="shared" si="6"/>
        <v>1</v>
      </c>
      <c r="K139">
        <f t="shared" si="7"/>
        <v>0</v>
      </c>
    </row>
    <row r="140" spans="1:11" x14ac:dyDescent="0.3">
      <c r="A140">
        <v>139</v>
      </c>
      <c r="B140" s="1">
        <v>45852</v>
      </c>
      <c r="C140" t="s">
        <v>10</v>
      </c>
      <c r="D140" t="str">
        <f>TEXT(Table1[[#This Row],[Date]],"mmm")</f>
        <v>Jul</v>
      </c>
      <c r="E140">
        <v>24875</v>
      </c>
      <c r="F140">
        <v>33058</v>
      </c>
      <c r="G140">
        <f>Table1[[#This Row],[Algo]]+Table1[[#This Row],[Manual]]</f>
        <v>57933</v>
      </c>
      <c r="H140">
        <f>H139+Table1[[#This Row],[Total Gross P&amp;L]]</f>
        <v>2219802</v>
      </c>
      <c r="I140">
        <f>WEEKNUM(Table1[[#This Row],[Date]])</f>
        <v>29</v>
      </c>
      <c r="J140">
        <f t="shared" si="6"/>
        <v>2</v>
      </c>
      <c r="K140">
        <f t="shared" si="7"/>
        <v>0</v>
      </c>
    </row>
    <row r="141" spans="1:11" x14ac:dyDescent="0.3">
      <c r="A141">
        <v>140</v>
      </c>
      <c r="B141" s="1">
        <v>45853</v>
      </c>
      <c r="C141" t="s">
        <v>11</v>
      </c>
      <c r="D141" t="str">
        <f>TEXT(Table1[[#This Row],[Date]],"mmm")</f>
        <v>Jul</v>
      </c>
      <c r="E141">
        <v>32129</v>
      </c>
      <c r="F141">
        <v>31907</v>
      </c>
      <c r="G141">
        <f>Table1[[#This Row],[Algo]]+Table1[[#This Row],[Manual]]</f>
        <v>64036</v>
      </c>
      <c r="H141">
        <f>H140+Table1[[#This Row],[Total Gross P&amp;L]]</f>
        <v>2283838</v>
      </c>
      <c r="I141">
        <f>WEEKNUM(Table1[[#This Row],[Date]])</f>
        <v>29</v>
      </c>
      <c r="J141">
        <f t="shared" si="6"/>
        <v>3</v>
      </c>
      <c r="K141">
        <f t="shared" si="7"/>
        <v>0</v>
      </c>
    </row>
    <row r="142" spans="1:11" x14ac:dyDescent="0.3">
      <c r="A142">
        <v>141</v>
      </c>
      <c r="B142" s="1">
        <v>45854</v>
      </c>
      <c r="C142" t="s">
        <v>7</v>
      </c>
      <c r="D142" t="str">
        <f>TEXT(Table1[[#This Row],[Date]],"mmm")</f>
        <v>Jul</v>
      </c>
      <c r="E142">
        <v>-8164</v>
      </c>
      <c r="F142">
        <v>3350</v>
      </c>
      <c r="G142">
        <f>Table1[[#This Row],[Algo]]+Table1[[#This Row],[Manual]]</f>
        <v>-4814</v>
      </c>
      <c r="H142">
        <f>H141+Table1[[#This Row],[Total Gross P&amp;L]]</f>
        <v>2279024</v>
      </c>
      <c r="I142">
        <f>WEEKNUM(Table1[[#This Row],[Date]])</f>
        <v>29</v>
      </c>
      <c r="J142">
        <f t="shared" si="6"/>
        <v>0</v>
      </c>
      <c r="K142">
        <f t="shared" si="7"/>
        <v>1</v>
      </c>
    </row>
    <row r="143" spans="1:11" x14ac:dyDescent="0.3">
      <c r="A143">
        <v>142</v>
      </c>
      <c r="B143" s="1">
        <v>45855</v>
      </c>
      <c r="C143" t="s">
        <v>8</v>
      </c>
      <c r="D143" t="str">
        <f>TEXT(Table1[[#This Row],[Date]],"mmm")</f>
        <v>Jul</v>
      </c>
      <c r="E143">
        <v>15265</v>
      </c>
      <c r="F143">
        <v>-16362</v>
      </c>
      <c r="G143">
        <f>Table1[[#This Row],[Algo]]+Table1[[#This Row],[Manual]]</f>
        <v>-1097</v>
      </c>
      <c r="H143">
        <f>H142+Table1[[#This Row],[Total Gross P&amp;L]]</f>
        <v>2277927</v>
      </c>
      <c r="I143">
        <f>WEEKNUM(Table1[[#This Row],[Date]])</f>
        <v>29</v>
      </c>
      <c r="J143">
        <f t="shared" si="6"/>
        <v>0</v>
      </c>
      <c r="K143">
        <f t="shared" si="7"/>
        <v>2</v>
      </c>
    </row>
    <row r="144" spans="1:11" x14ac:dyDescent="0.3">
      <c r="A144">
        <v>143</v>
      </c>
      <c r="B144" s="1">
        <v>45856</v>
      </c>
      <c r="C144" t="s">
        <v>9</v>
      </c>
      <c r="D144" t="str">
        <f>TEXT(Table1[[#This Row],[Date]],"mmm")</f>
        <v>Jul</v>
      </c>
      <c r="E144">
        <v>-12142</v>
      </c>
      <c r="F144">
        <v>13411</v>
      </c>
      <c r="G144">
        <f>Table1[[#This Row],[Algo]]+Table1[[#This Row],[Manual]]</f>
        <v>1269</v>
      </c>
      <c r="H144">
        <f>H143+Table1[[#This Row],[Total Gross P&amp;L]]</f>
        <v>2279196</v>
      </c>
      <c r="I144">
        <f>WEEKNUM(Table1[[#This Row],[Date]])</f>
        <v>29</v>
      </c>
      <c r="J144">
        <f t="shared" si="6"/>
        <v>1</v>
      </c>
      <c r="K144">
        <f t="shared" si="7"/>
        <v>0</v>
      </c>
    </row>
    <row r="145" spans="1:11" x14ac:dyDescent="0.3">
      <c r="A145">
        <v>144</v>
      </c>
      <c r="B145" s="1">
        <v>45859</v>
      </c>
      <c r="C145" t="s">
        <v>10</v>
      </c>
      <c r="D145" t="str">
        <f>TEXT(Table1[[#This Row],[Date]],"mmm")</f>
        <v>Jul</v>
      </c>
      <c r="E145">
        <v>3547</v>
      </c>
      <c r="F145">
        <v>9762</v>
      </c>
      <c r="G145">
        <f>Table1[[#This Row],[Algo]]+Table1[[#This Row],[Manual]]</f>
        <v>13309</v>
      </c>
      <c r="H145">
        <f>H144+Table1[[#This Row],[Total Gross P&amp;L]]</f>
        <v>2292505</v>
      </c>
      <c r="I145">
        <f>WEEKNUM(Table1[[#This Row],[Date]])</f>
        <v>30</v>
      </c>
      <c r="J145">
        <f t="shared" si="6"/>
        <v>2</v>
      </c>
      <c r="K145">
        <f t="shared" si="7"/>
        <v>0</v>
      </c>
    </row>
    <row r="146" spans="1:11" x14ac:dyDescent="0.3">
      <c r="A146">
        <v>145</v>
      </c>
      <c r="B146" s="1">
        <v>45860</v>
      </c>
      <c r="C146" t="s">
        <v>11</v>
      </c>
      <c r="D146" t="str">
        <f>TEXT(Table1[[#This Row],[Date]],"mmm")</f>
        <v>Jul</v>
      </c>
      <c r="E146">
        <v>33462</v>
      </c>
      <c r="F146">
        <v>-2645</v>
      </c>
      <c r="G146">
        <f>Table1[[#This Row],[Algo]]+Table1[[#This Row],[Manual]]</f>
        <v>30817</v>
      </c>
      <c r="H146">
        <f>H145+Table1[[#This Row],[Total Gross P&amp;L]]</f>
        <v>2323322</v>
      </c>
      <c r="I146">
        <f>WEEKNUM(Table1[[#This Row],[Date]])</f>
        <v>30</v>
      </c>
      <c r="J146">
        <f t="shared" si="6"/>
        <v>3</v>
      </c>
      <c r="K146">
        <f t="shared" si="7"/>
        <v>0</v>
      </c>
    </row>
    <row r="147" spans="1:11" x14ac:dyDescent="0.3">
      <c r="A147">
        <v>146</v>
      </c>
      <c r="B147" s="1">
        <v>45861</v>
      </c>
      <c r="C147" t="s">
        <v>7</v>
      </c>
      <c r="D147" t="str">
        <f>TEXT(Table1[[#This Row],[Date]],"mmm")</f>
        <v>Jul</v>
      </c>
      <c r="E147">
        <v>-1305</v>
      </c>
      <c r="F147">
        <v>31516</v>
      </c>
      <c r="G147">
        <f>Table1[[#This Row],[Algo]]+Table1[[#This Row],[Manual]]</f>
        <v>30211</v>
      </c>
      <c r="H147">
        <f>H146+Table1[[#This Row],[Total Gross P&amp;L]]</f>
        <v>2353533</v>
      </c>
      <c r="I147">
        <f>WEEKNUM(Table1[[#This Row],[Date]])</f>
        <v>30</v>
      </c>
      <c r="J147">
        <f t="shared" si="6"/>
        <v>4</v>
      </c>
      <c r="K147">
        <f t="shared" si="7"/>
        <v>0</v>
      </c>
    </row>
    <row r="148" spans="1:11" x14ac:dyDescent="0.3">
      <c r="A148">
        <v>147</v>
      </c>
      <c r="B148" s="1">
        <v>45862</v>
      </c>
      <c r="C148" t="s">
        <v>8</v>
      </c>
      <c r="D148" t="str">
        <f>TEXT(Table1[[#This Row],[Date]],"mmm")</f>
        <v>Jul</v>
      </c>
      <c r="E148">
        <v>23933</v>
      </c>
      <c r="F148">
        <v>23009</v>
      </c>
      <c r="G148">
        <f>Table1[[#This Row],[Algo]]+Table1[[#This Row],[Manual]]</f>
        <v>46942</v>
      </c>
      <c r="H148">
        <f>H147+Table1[[#This Row],[Total Gross P&amp;L]]</f>
        <v>2400475</v>
      </c>
      <c r="I148">
        <f>WEEKNUM(Table1[[#This Row],[Date]])</f>
        <v>30</v>
      </c>
      <c r="J148">
        <f t="shared" si="6"/>
        <v>5</v>
      </c>
      <c r="K148">
        <f t="shared" si="7"/>
        <v>0</v>
      </c>
    </row>
    <row r="149" spans="1:11" x14ac:dyDescent="0.3">
      <c r="A149">
        <v>148</v>
      </c>
      <c r="B149" s="1">
        <v>45863</v>
      </c>
      <c r="C149" t="s">
        <v>9</v>
      </c>
      <c r="D149" t="str">
        <f>TEXT(Table1[[#This Row],[Date]],"mmm")</f>
        <v>Jul</v>
      </c>
      <c r="E149">
        <v>34956</v>
      </c>
      <c r="F149">
        <v>14263</v>
      </c>
      <c r="G149">
        <f>Table1[[#This Row],[Algo]]+Table1[[#This Row],[Manual]]</f>
        <v>49219</v>
      </c>
      <c r="H149">
        <f>H148+Table1[[#This Row],[Total Gross P&amp;L]]</f>
        <v>2449694</v>
      </c>
      <c r="I149">
        <f>WEEKNUM(Table1[[#This Row],[Date]])</f>
        <v>30</v>
      </c>
      <c r="J149">
        <f t="shared" si="6"/>
        <v>6</v>
      </c>
      <c r="K149">
        <f t="shared" si="7"/>
        <v>0</v>
      </c>
    </row>
    <row r="150" spans="1:11" x14ac:dyDescent="0.3">
      <c r="A150">
        <v>149</v>
      </c>
      <c r="B150" s="1">
        <v>45866</v>
      </c>
      <c r="C150" t="s">
        <v>10</v>
      </c>
      <c r="D150" t="str">
        <f>TEXT(Table1[[#This Row],[Date]],"mmm")</f>
        <v>Jul</v>
      </c>
      <c r="E150">
        <v>17801</v>
      </c>
      <c r="F150">
        <v>7117</v>
      </c>
      <c r="G150">
        <f>Table1[[#This Row],[Algo]]+Table1[[#This Row],[Manual]]</f>
        <v>24918</v>
      </c>
      <c r="H150">
        <f>H149+Table1[[#This Row],[Total Gross P&amp;L]]</f>
        <v>2474612</v>
      </c>
      <c r="I150">
        <f>WEEKNUM(Table1[[#This Row],[Date]])</f>
        <v>31</v>
      </c>
      <c r="J150">
        <f t="shared" si="6"/>
        <v>7</v>
      </c>
      <c r="K150">
        <f t="shared" si="7"/>
        <v>0</v>
      </c>
    </row>
    <row r="151" spans="1:11" x14ac:dyDescent="0.3">
      <c r="A151">
        <v>150</v>
      </c>
      <c r="B151" s="1">
        <v>45867</v>
      </c>
      <c r="C151" t="s">
        <v>11</v>
      </c>
      <c r="D151" t="str">
        <f>TEXT(Table1[[#This Row],[Date]],"mmm")</f>
        <v>Jul</v>
      </c>
      <c r="E151">
        <v>15085</v>
      </c>
      <c r="F151">
        <v>34949</v>
      </c>
      <c r="G151">
        <f>Table1[[#This Row],[Algo]]+Table1[[#This Row],[Manual]]</f>
        <v>50034</v>
      </c>
      <c r="H151">
        <f>H150+Table1[[#This Row],[Total Gross P&amp;L]]</f>
        <v>2524646</v>
      </c>
      <c r="I151">
        <f>WEEKNUM(Table1[[#This Row],[Date]])</f>
        <v>31</v>
      </c>
      <c r="J151">
        <f t="shared" si="6"/>
        <v>8</v>
      </c>
      <c r="K151">
        <f t="shared" si="7"/>
        <v>0</v>
      </c>
    </row>
    <row r="152" spans="1:11" x14ac:dyDescent="0.3">
      <c r="A152">
        <v>151</v>
      </c>
      <c r="B152" s="1">
        <v>45868</v>
      </c>
      <c r="C152" t="s">
        <v>7</v>
      </c>
      <c r="D152" t="str">
        <f>TEXT(Table1[[#This Row],[Date]],"mmm")</f>
        <v>Jul</v>
      </c>
      <c r="E152">
        <v>6335</v>
      </c>
      <c r="F152">
        <v>-19637</v>
      </c>
      <c r="G152">
        <f>Table1[[#This Row],[Algo]]+Table1[[#This Row],[Manual]]</f>
        <v>-13302</v>
      </c>
      <c r="H152">
        <f>H151+Table1[[#This Row],[Total Gross P&amp;L]]</f>
        <v>2511344</v>
      </c>
      <c r="I152">
        <f>WEEKNUM(Table1[[#This Row],[Date]])</f>
        <v>31</v>
      </c>
      <c r="J152">
        <f t="shared" si="6"/>
        <v>0</v>
      </c>
      <c r="K152">
        <f t="shared" si="7"/>
        <v>1</v>
      </c>
    </row>
    <row r="153" spans="1:11" x14ac:dyDescent="0.3">
      <c r="A153">
        <v>152</v>
      </c>
      <c r="B153" s="1">
        <v>45869</v>
      </c>
      <c r="C153" t="s">
        <v>8</v>
      </c>
      <c r="D153" t="str">
        <f>TEXT(Table1[[#This Row],[Date]],"mmm")</f>
        <v>Jul</v>
      </c>
      <c r="E153">
        <v>6727</v>
      </c>
      <c r="F153">
        <v>27884</v>
      </c>
      <c r="G153">
        <f>Table1[[#This Row],[Algo]]+Table1[[#This Row],[Manual]]</f>
        <v>34611</v>
      </c>
      <c r="H153">
        <f>H152+Table1[[#This Row],[Total Gross P&amp;L]]</f>
        <v>2545955</v>
      </c>
      <c r="I153">
        <f>WEEKNUM(Table1[[#This Row],[Date]])</f>
        <v>31</v>
      </c>
      <c r="J153">
        <f t="shared" si="6"/>
        <v>1</v>
      </c>
      <c r="K153">
        <f t="shared" si="7"/>
        <v>0</v>
      </c>
    </row>
    <row r="154" spans="1:11" x14ac:dyDescent="0.3">
      <c r="A154">
        <v>153</v>
      </c>
      <c r="B154" s="1">
        <v>45870</v>
      </c>
      <c r="C154" t="s">
        <v>9</v>
      </c>
      <c r="D154" t="str">
        <f>TEXT(Table1[[#This Row],[Date]],"mmm")</f>
        <v>Aug</v>
      </c>
      <c r="E154">
        <v>1036</v>
      </c>
      <c r="F154">
        <v>-6949</v>
      </c>
      <c r="G154">
        <f>Table1[[#This Row],[Algo]]+Table1[[#This Row],[Manual]]</f>
        <v>-5913</v>
      </c>
      <c r="H154">
        <f>H153+Table1[[#This Row],[Total Gross P&amp;L]]</f>
        <v>2540042</v>
      </c>
      <c r="I154">
        <f>WEEKNUM(Table1[[#This Row],[Date]])</f>
        <v>31</v>
      </c>
      <c r="J154">
        <f t="shared" si="6"/>
        <v>0</v>
      </c>
      <c r="K154">
        <f t="shared" si="7"/>
        <v>1</v>
      </c>
    </row>
    <row r="155" spans="1:11" x14ac:dyDescent="0.3">
      <c r="A155">
        <v>154</v>
      </c>
      <c r="B155" s="1">
        <v>45873</v>
      </c>
      <c r="C155" t="s">
        <v>10</v>
      </c>
      <c r="D155" t="str">
        <f>TEXT(Table1[[#This Row],[Date]],"mmm")</f>
        <v>Aug</v>
      </c>
      <c r="E155">
        <v>1630</v>
      </c>
      <c r="F155">
        <v>14260</v>
      </c>
      <c r="G155">
        <f>Table1[[#This Row],[Algo]]+Table1[[#This Row],[Manual]]</f>
        <v>15890</v>
      </c>
      <c r="H155">
        <f>H154+Table1[[#This Row],[Total Gross P&amp;L]]</f>
        <v>2555932</v>
      </c>
      <c r="I155">
        <f>WEEKNUM(Table1[[#This Row],[Date]])</f>
        <v>32</v>
      </c>
      <c r="J155">
        <f t="shared" si="6"/>
        <v>1</v>
      </c>
      <c r="K155">
        <f t="shared" si="7"/>
        <v>0</v>
      </c>
    </row>
    <row r="156" spans="1:11" x14ac:dyDescent="0.3">
      <c r="A156">
        <v>155</v>
      </c>
      <c r="B156" s="1">
        <v>45874</v>
      </c>
      <c r="C156" t="s">
        <v>11</v>
      </c>
      <c r="D156" t="str">
        <f>TEXT(Table1[[#This Row],[Date]],"mmm")</f>
        <v>Aug</v>
      </c>
      <c r="E156">
        <v>-9943</v>
      </c>
      <c r="F156">
        <v>22501</v>
      </c>
      <c r="G156">
        <f>Table1[[#This Row],[Algo]]+Table1[[#This Row],[Manual]]</f>
        <v>12558</v>
      </c>
      <c r="H156">
        <f>H155+Table1[[#This Row],[Total Gross P&amp;L]]</f>
        <v>2568490</v>
      </c>
      <c r="I156">
        <f>WEEKNUM(Table1[[#This Row],[Date]])</f>
        <v>32</v>
      </c>
      <c r="J156">
        <f t="shared" si="6"/>
        <v>2</v>
      </c>
      <c r="K156">
        <f t="shared" si="7"/>
        <v>0</v>
      </c>
    </row>
    <row r="157" spans="1:11" x14ac:dyDescent="0.3">
      <c r="A157">
        <v>156</v>
      </c>
      <c r="B157" s="1">
        <v>45875</v>
      </c>
      <c r="C157" t="s">
        <v>7</v>
      </c>
      <c r="D157" t="str">
        <f>TEXT(Table1[[#This Row],[Date]],"mmm")</f>
        <v>Aug</v>
      </c>
      <c r="E157">
        <v>-609</v>
      </c>
      <c r="F157">
        <v>33027</v>
      </c>
      <c r="G157">
        <f>Table1[[#This Row],[Algo]]+Table1[[#This Row],[Manual]]</f>
        <v>32418</v>
      </c>
      <c r="H157">
        <f>H156+Table1[[#This Row],[Total Gross P&amp;L]]</f>
        <v>2600908</v>
      </c>
      <c r="I157">
        <f>WEEKNUM(Table1[[#This Row],[Date]])</f>
        <v>32</v>
      </c>
      <c r="J157">
        <f t="shared" si="6"/>
        <v>3</v>
      </c>
      <c r="K157">
        <f t="shared" si="7"/>
        <v>0</v>
      </c>
    </row>
    <row r="158" spans="1:11" x14ac:dyDescent="0.3">
      <c r="A158">
        <v>157</v>
      </c>
      <c r="B158" s="1">
        <v>45876</v>
      </c>
      <c r="C158" t="s">
        <v>8</v>
      </c>
      <c r="D158" t="str">
        <f>TEXT(Table1[[#This Row],[Date]],"mmm")</f>
        <v>Aug</v>
      </c>
      <c r="E158">
        <v>18217</v>
      </c>
      <c r="F158">
        <v>13734</v>
      </c>
      <c r="G158">
        <f>Table1[[#This Row],[Algo]]+Table1[[#This Row],[Manual]]</f>
        <v>31951</v>
      </c>
      <c r="H158">
        <f>H157+Table1[[#This Row],[Total Gross P&amp;L]]</f>
        <v>2632859</v>
      </c>
      <c r="I158">
        <f>WEEKNUM(Table1[[#This Row],[Date]])</f>
        <v>32</v>
      </c>
      <c r="J158">
        <f t="shared" si="6"/>
        <v>4</v>
      </c>
      <c r="K158">
        <f t="shared" si="7"/>
        <v>0</v>
      </c>
    </row>
    <row r="159" spans="1:11" x14ac:dyDescent="0.3">
      <c r="A159">
        <v>158</v>
      </c>
      <c r="B159" s="1">
        <v>45877</v>
      </c>
      <c r="C159" t="s">
        <v>9</v>
      </c>
      <c r="D159" t="str">
        <f>TEXT(Table1[[#This Row],[Date]],"mmm")</f>
        <v>Aug</v>
      </c>
      <c r="E159">
        <v>10427</v>
      </c>
      <c r="F159">
        <v>32369</v>
      </c>
      <c r="G159">
        <f>Table1[[#This Row],[Algo]]+Table1[[#This Row],[Manual]]</f>
        <v>42796</v>
      </c>
      <c r="H159">
        <f>H158+Table1[[#This Row],[Total Gross P&amp;L]]</f>
        <v>2675655</v>
      </c>
      <c r="I159">
        <f>WEEKNUM(Table1[[#This Row],[Date]])</f>
        <v>32</v>
      </c>
      <c r="J159">
        <f t="shared" si="6"/>
        <v>5</v>
      </c>
      <c r="K159">
        <f t="shared" si="7"/>
        <v>0</v>
      </c>
    </row>
    <row r="160" spans="1:11" x14ac:dyDescent="0.3">
      <c r="A160">
        <v>159</v>
      </c>
      <c r="B160" s="1">
        <v>45880</v>
      </c>
      <c r="C160" t="s">
        <v>10</v>
      </c>
      <c r="D160" t="str">
        <f>TEXT(Table1[[#This Row],[Date]],"mmm")</f>
        <v>Aug</v>
      </c>
      <c r="E160">
        <v>11881</v>
      </c>
      <c r="F160">
        <v>6685</v>
      </c>
      <c r="G160">
        <f>Table1[[#This Row],[Algo]]+Table1[[#This Row],[Manual]]</f>
        <v>18566</v>
      </c>
      <c r="H160">
        <f>H159+Table1[[#This Row],[Total Gross P&amp;L]]</f>
        <v>2694221</v>
      </c>
      <c r="I160">
        <f>WEEKNUM(Table1[[#This Row],[Date]])</f>
        <v>33</v>
      </c>
      <c r="J160">
        <f t="shared" si="6"/>
        <v>6</v>
      </c>
      <c r="K160">
        <f t="shared" si="7"/>
        <v>0</v>
      </c>
    </row>
    <row r="161" spans="1:11" x14ac:dyDescent="0.3">
      <c r="A161">
        <v>160</v>
      </c>
      <c r="B161" s="1">
        <v>45881</v>
      </c>
      <c r="C161" t="s">
        <v>11</v>
      </c>
      <c r="D161" t="str">
        <f>TEXT(Table1[[#This Row],[Date]],"mmm")</f>
        <v>Aug</v>
      </c>
      <c r="E161">
        <v>18203</v>
      </c>
      <c r="F161">
        <v>12741</v>
      </c>
      <c r="G161">
        <f>Table1[[#This Row],[Algo]]+Table1[[#This Row],[Manual]]</f>
        <v>30944</v>
      </c>
      <c r="H161">
        <f>H160+Table1[[#This Row],[Total Gross P&amp;L]]</f>
        <v>2725165</v>
      </c>
      <c r="I161">
        <f>WEEKNUM(Table1[[#This Row],[Date]])</f>
        <v>33</v>
      </c>
      <c r="J161">
        <f t="shared" si="6"/>
        <v>7</v>
      </c>
      <c r="K161">
        <f t="shared" si="7"/>
        <v>0</v>
      </c>
    </row>
    <row r="162" spans="1:11" x14ac:dyDescent="0.3">
      <c r="A162">
        <v>161</v>
      </c>
      <c r="B162" s="1">
        <v>45882</v>
      </c>
      <c r="C162" t="s">
        <v>7</v>
      </c>
      <c r="D162" t="str">
        <f>TEXT(Table1[[#This Row],[Date]],"mmm")</f>
        <v>Aug</v>
      </c>
      <c r="E162">
        <v>-4669</v>
      </c>
      <c r="F162">
        <v>-1324</v>
      </c>
      <c r="G162">
        <f>Table1[[#This Row],[Algo]]+Table1[[#This Row],[Manual]]</f>
        <v>-5993</v>
      </c>
      <c r="H162">
        <f>H161+Table1[[#This Row],[Total Gross P&amp;L]]</f>
        <v>2719172</v>
      </c>
      <c r="I162">
        <f>WEEKNUM(Table1[[#This Row],[Date]])</f>
        <v>33</v>
      </c>
      <c r="J162">
        <f t="shared" si="6"/>
        <v>0</v>
      </c>
      <c r="K162">
        <f t="shared" si="7"/>
        <v>1</v>
      </c>
    </row>
    <row r="163" spans="1:11" x14ac:dyDescent="0.3">
      <c r="A163">
        <v>162</v>
      </c>
      <c r="B163" s="1">
        <v>45883</v>
      </c>
      <c r="C163" t="s">
        <v>8</v>
      </c>
      <c r="D163" t="str">
        <f>TEXT(Table1[[#This Row],[Date]],"mmm")</f>
        <v>Aug</v>
      </c>
      <c r="E163">
        <v>27337</v>
      </c>
      <c r="F163">
        <v>-36</v>
      </c>
      <c r="G163">
        <f>Table1[[#This Row],[Algo]]+Table1[[#This Row],[Manual]]</f>
        <v>27301</v>
      </c>
      <c r="H163">
        <f>H162+Table1[[#This Row],[Total Gross P&amp;L]]</f>
        <v>2746473</v>
      </c>
      <c r="I163">
        <f>WEEKNUM(Table1[[#This Row],[Date]])</f>
        <v>33</v>
      </c>
      <c r="J163">
        <f t="shared" si="6"/>
        <v>1</v>
      </c>
      <c r="K163">
        <f t="shared" si="7"/>
        <v>0</v>
      </c>
    </row>
    <row r="164" spans="1:11" x14ac:dyDescent="0.3">
      <c r="A164">
        <v>163</v>
      </c>
      <c r="B164" s="1">
        <v>45884</v>
      </c>
      <c r="C164" t="s">
        <v>9</v>
      </c>
      <c r="D164" t="str">
        <f>TEXT(Table1[[#This Row],[Date]],"mmm")</f>
        <v>Aug</v>
      </c>
      <c r="E164">
        <v>32593</v>
      </c>
      <c r="F164">
        <v>-2225</v>
      </c>
      <c r="G164">
        <f>Table1[[#This Row],[Algo]]+Table1[[#This Row],[Manual]]</f>
        <v>30368</v>
      </c>
      <c r="H164">
        <f>H163+Table1[[#This Row],[Total Gross P&amp;L]]</f>
        <v>2776841</v>
      </c>
      <c r="I164">
        <f>WEEKNUM(Table1[[#This Row],[Date]])</f>
        <v>33</v>
      </c>
      <c r="J164">
        <f t="shared" si="6"/>
        <v>2</v>
      </c>
      <c r="K164">
        <f t="shared" si="7"/>
        <v>0</v>
      </c>
    </row>
    <row r="165" spans="1:11" x14ac:dyDescent="0.3">
      <c r="A165">
        <v>164</v>
      </c>
      <c r="B165" s="1">
        <v>45887</v>
      </c>
      <c r="C165" t="s">
        <v>10</v>
      </c>
      <c r="D165" t="str">
        <f>TEXT(Table1[[#This Row],[Date]],"mmm")</f>
        <v>Aug</v>
      </c>
      <c r="E165">
        <v>-12334</v>
      </c>
      <c r="F165">
        <v>26849</v>
      </c>
      <c r="G165">
        <f>Table1[[#This Row],[Algo]]+Table1[[#This Row],[Manual]]</f>
        <v>14515</v>
      </c>
      <c r="H165">
        <f>H164+Table1[[#This Row],[Total Gross P&amp;L]]</f>
        <v>2791356</v>
      </c>
      <c r="I165">
        <f>WEEKNUM(Table1[[#This Row],[Date]])</f>
        <v>34</v>
      </c>
      <c r="J165">
        <f t="shared" si="6"/>
        <v>3</v>
      </c>
      <c r="K165">
        <f t="shared" si="7"/>
        <v>0</v>
      </c>
    </row>
    <row r="166" spans="1:11" x14ac:dyDescent="0.3">
      <c r="A166">
        <v>165</v>
      </c>
      <c r="B166" s="1">
        <v>45888</v>
      </c>
      <c r="C166" t="s">
        <v>11</v>
      </c>
      <c r="D166" t="str">
        <f>TEXT(Table1[[#This Row],[Date]],"mmm")</f>
        <v>Aug</v>
      </c>
      <c r="E166">
        <v>34396</v>
      </c>
      <c r="F166">
        <v>-3020</v>
      </c>
      <c r="G166">
        <f>Table1[[#This Row],[Algo]]+Table1[[#This Row],[Manual]]</f>
        <v>31376</v>
      </c>
      <c r="H166">
        <f>H165+Table1[[#This Row],[Total Gross P&amp;L]]</f>
        <v>2822732</v>
      </c>
      <c r="I166">
        <f>WEEKNUM(Table1[[#This Row],[Date]])</f>
        <v>34</v>
      </c>
      <c r="J166">
        <f t="shared" si="6"/>
        <v>4</v>
      </c>
      <c r="K166">
        <f t="shared" si="7"/>
        <v>0</v>
      </c>
    </row>
    <row r="167" spans="1:11" x14ac:dyDescent="0.3">
      <c r="A167">
        <v>166</v>
      </c>
      <c r="B167" s="1">
        <v>45889</v>
      </c>
      <c r="C167" t="s">
        <v>7</v>
      </c>
      <c r="D167" t="str">
        <f>TEXT(Table1[[#This Row],[Date]],"mmm")</f>
        <v>Aug</v>
      </c>
      <c r="E167">
        <v>-5881</v>
      </c>
      <c r="F167">
        <v>-11703</v>
      </c>
      <c r="G167">
        <f>Table1[[#This Row],[Algo]]+Table1[[#This Row],[Manual]]</f>
        <v>-17584</v>
      </c>
      <c r="H167">
        <f>H166+Table1[[#This Row],[Total Gross P&amp;L]]</f>
        <v>2805148</v>
      </c>
      <c r="I167">
        <f>WEEKNUM(Table1[[#This Row],[Date]])</f>
        <v>34</v>
      </c>
      <c r="J167">
        <f t="shared" si="6"/>
        <v>0</v>
      </c>
      <c r="K167">
        <f t="shared" si="7"/>
        <v>1</v>
      </c>
    </row>
    <row r="168" spans="1:11" x14ac:dyDescent="0.3">
      <c r="A168">
        <v>167</v>
      </c>
      <c r="B168" s="1">
        <v>45890</v>
      </c>
      <c r="C168" t="s">
        <v>8</v>
      </c>
      <c r="D168" t="str">
        <f>TEXT(Table1[[#This Row],[Date]],"mmm")</f>
        <v>Aug</v>
      </c>
      <c r="E168">
        <v>2126</v>
      </c>
      <c r="F168">
        <v>12578</v>
      </c>
      <c r="G168">
        <f>Table1[[#This Row],[Algo]]+Table1[[#This Row],[Manual]]</f>
        <v>14704</v>
      </c>
      <c r="H168">
        <f>H167+Table1[[#This Row],[Total Gross P&amp;L]]</f>
        <v>2819852</v>
      </c>
      <c r="I168">
        <f>WEEKNUM(Table1[[#This Row],[Date]])</f>
        <v>34</v>
      </c>
      <c r="J168">
        <f t="shared" si="6"/>
        <v>1</v>
      </c>
      <c r="K168">
        <f t="shared" si="7"/>
        <v>0</v>
      </c>
    </row>
    <row r="169" spans="1:11" x14ac:dyDescent="0.3">
      <c r="A169">
        <v>168</v>
      </c>
      <c r="B169" s="1">
        <v>45891</v>
      </c>
      <c r="C169" t="s">
        <v>9</v>
      </c>
      <c r="D169" t="str">
        <f>TEXT(Table1[[#This Row],[Date]],"mmm")</f>
        <v>Aug</v>
      </c>
      <c r="E169">
        <v>23224</v>
      </c>
      <c r="F169">
        <v>33618</v>
      </c>
      <c r="G169">
        <f>Table1[[#This Row],[Algo]]+Table1[[#This Row],[Manual]]</f>
        <v>56842</v>
      </c>
      <c r="H169">
        <f>H168+Table1[[#This Row],[Total Gross P&amp;L]]</f>
        <v>2876694</v>
      </c>
      <c r="I169">
        <f>WEEKNUM(Table1[[#This Row],[Date]])</f>
        <v>34</v>
      </c>
      <c r="J169">
        <f t="shared" si="6"/>
        <v>2</v>
      </c>
      <c r="K169">
        <f t="shared" si="7"/>
        <v>0</v>
      </c>
    </row>
    <row r="170" spans="1:11" x14ac:dyDescent="0.3">
      <c r="A170">
        <v>169</v>
      </c>
      <c r="B170" s="1">
        <v>45894</v>
      </c>
      <c r="C170" t="s">
        <v>10</v>
      </c>
      <c r="D170" t="str">
        <f>TEXT(Table1[[#This Row],[Date]],"mmm")</f>
        <v>Aug</v>
      </c>
      <c r="E170">
        <v>23921</v>
      </c>
      <c r="F170">
        <v>-6908</v>
      </c>
      <c r="G170">
        <f>Table1[[#This Row],[Algo]]+Table1[[#This Row],[Manual]]</f>
        <v>17013</v>
      </c>
      <c r="H170">
        <f>H169+Table1[[#This Row],[Total Gross P&amp;L]]</f>
        <v>2893707</v>
      </c>
      <c r="I170">
        <f>WEEKNUM(Table1[[#This Row],[Date]])</f>
        <v>35</v>
      </c>
      <c r="J170">
        <f t="shared" si="6"/>
        <v>3</v>
      </c>
      <c r="K170">
        <f t="shared" si="7"/>
        <v>0</v>
      </c>
    </row>
    <row r="171" spans="1:11" x14ac:dyDescent="0.3">
      <c r="A171">
        <v>170</v>
      </c>
      <c r="B171" s="1">
        <v>45895</v>
      </c>
      <c r="C171" t="s">
        <v>11</v>
      </c>
      <c r="D171" t="str">
        <f>TEXT(Table1[[#This Row],[Date]],"mmm")</f>
        <v>Aug</v>
      </c>
      <c r="E171">
        <v>-15089</v>
      </c>
      <c r="F171">
        <v>-147</v>
      </c>
      <c r="G171">
        <f>Table1[[#This Row],[Algo]]+Table1[[#This Row],[Manual]]</f>
        <v>-15236</v>
      </c>
      <c r="H171">
        <f>H170+Table1[[#This Row],[Total Gross P&amp;L]]</f>
        <v>2878471</v>
      </c>
      <c r="I171">
        <f>WEEKNUM(Table1[[#This Row],[Date]])</f>
        <v>35</v>
      </c>
      <c r="J171">
        <f t="shared" si="6"/>
        <v>0</v>
      </c>
      <c r="K171">
        <f t="shared" si="7"/>
        <v>1</v>
      </c>
    </row>
    <row r="172" spans="1:11" x14ac:dyDescent="0.3">
      <c r="A172">
        <v>171</v>
      </c>
      <c r="B172" s="1">
        <v>45896</v>
      </c>
      <c r="C172" t="s">
        <v>7</v>
      </c>
      <c r="D172" t="str">
        <f>TEXT(Table1[[#This Row],[Date]],"mmm")</f>
        <v>Aug</v>
      </c>
      <c r="E172">
        <v>21644</v>
      </c>
      <c r="F172">
        <v>11423</v>
      </c>
      <c r="G172">
        <f>Table1[[#This Row],[Algo]]+Table1[[#This Row],[Manual]]</f>
        <v>33067</v>
      </c>
      <c r="H172">
        <f>H171+Table1[[#This Row],[Total Gross P&amp;L]]</f>
        <v>2911538</v>
      </c>
      <c r="I172">
        <f>WEEKNUM(Table1[[#This Row],[Date]])</f>
        <v>35</v>
      </c>
      <c r="J172">
        <f t="shared" si="6"/>
        <v>1</v>
      </c>
      <c r="K172">
        <f t="shared" si="7"/>
        <v>0</v>
      </c>
    </row>
    <row r="173" spans="1:11" x14ac:dyDescent="0.3">
      <c r="A173">
        <v>172</v>
      </c>
      <c r="B173" s="1">
        <v>45897</v>
      </c>
      <c r="C173" t="s">
        <v>8</v>
      </c>
      <c r="D173" t="str">
        <f>TEXT(Table1[[#This Row],[Date]],"mmm")</f>
        <v>Aug</v>
      </c>
      <c r="E173">
        <v>2283</v>
      </c>
      <c r="F173">
        <v>-15029</v>
      </c>
      <c r="G173">
        <f>Table1[[#This Row],[Algo]]+Table1[[#This Row],[Manual]]</f>
        <v>-12746</v>
      </c>
      <c r="H173">
        <f>H172+Table1[[#This Row],[Total Gross P&amp;L]]</f>
        <v>2898792</v>
      </c>
      <c r="I173">
        <f>WEEKNUM(Table1[[#This Row],[Date]])</f>
        <v>35</v>
      </c>
      <c r="J173">
        <f t="shared" si="6"/>
        <v>0</v>
      </c>
      <c r="K173">
        <f t="shared" si="7"/>
        <v>1</v>
      </c>
    </row>
    <row r="174" spans="1:11" x14ac:dyDescent="0.3">
      <c r="A174">
        <v>173</v>
      </c>
      <c r="B174" s="1">
        <v>45898</v>
      </c>
      <c r="C174" t="s">
        <v>9</v>
      </c>
      <c r="D174" t="str">
        <f>TEXT(Table1[[#This Row],[Date]],"mmm")</f>
        <v>Aug</v>
      </c>
      <c r="E174">
        <v>-18729</v>
      </c>
      <c r="F174">
        <v>-3939</v>
      </c>
      <c r="G174">
        <f>Table1[[#This Row],[Algo]]+Table1[[#This Row],[Manual]]</f>
        <v>-22668</v>
      </c>
      <c r="H174">
        <f>H173+Table1[[#This Row],[Total Gross P&amp;L]]</f>
        <v>2876124</v>
      </c>
      <c r="I174">
        <f>WEEKNUM(Table1[[#This Row],[Date]])</f>
        <v>35</v>
      </c>
      <c r="J174">
        <f t="shared" si="6"/>
        <v>0</v>
      </c>
      <c r="K174">
        <f t="shared" si="7"/>
        <v>2</v>
      </c>
    </row>
    <row r="175" spans="1:11" x14ac:dyDescent="0.3">
      <c r="A175">
        <v>174</v>
      </c>
      <c r="B175" s="1">
        <v>45901</v>
      </c>
      <c r="C175" t="s">
        <v>10</v>
      </c>
      <c r="D175" t="str">
        <f>TEXT(Table1[[#This Row],[Date]],"mmm")</f>
        <v>Sep</v>
      </c>
      <c r="E175">
        <v>8083</v>
      </c>
      <c r="F175">
        <v>15844</v>
      </c>
      <c r="G175">
        <f>Table1[[#This Row],[Algo]]+Table1[[#This Row],[Manual]]</f>
        <v>23927</v>
      </c>
      <c r="H175">
        <f>H174+Table1[[#This Row],[Total Gross P&amp;L]]</f>
        <v>2900051</v>
      </c>
      <c r="I175">
        <f>WEEKNUM(Table1[[#This Row],[Date]])</f>
        <v>36</v>
      </c>
      <c r="J175">
        <f t="shared" si="6"/>
        <v>1</v>
      </c>
      <c r="K175">
        <f t="shared" si="7"/>
        <v>0</v>
      </c>
    </row>
    <row r="176" spans="1:11" x14ac:dyDescent="0.3">
      <c r="A176">
        <v>175</v>
      </c>
      <c r="B176" s="1">
        <v>45902</v>
      </c>
      <c r="C176" t="s">
        <v>11</v>
      </c>
      <c r="D176" t="str">
        <f>TEXT(Table1[[#This Row],[Date]],"mmm")</f>
        <v>Sep</v>
      </c>
      <c r="E176">
        <v>14223</v>
      </c>
      <c r="F176">
        <v>22673</v>
      </c>
      <c r="G176">
        <f>Table1[[#This Row],[Algo]]+Table1[[#This Row],[Manual]]</f>
        <v>36896</v>
      </c>
      <c r="H176">
        <f>H175+Table1[[#This Row],[Total Gross P&amp;L]]</f>
        <v>2936947</v>
      </c>
      <c r="I176">
        <f>WEEKNUM(Table1[[#This Row],[Date]])</f>
        <v>36</v>
      </c>
      <c r="J176">
        <f t="shared" si="6"/>
        <v>2</v>
      </c>
      <c r="K176">
        <f t="shared" si="7"/>
        <v>0</v>
      </c>
    </row>
    <row r="177" spans="1:11" x14ac:dyDescent="0.3">
      <c r="A177">
        <v>176</v>
      </c>
      <c r="B177" s="1">
        <v>45903</v>
      </c>
      <c r="C177" t="s">
        <v>7</v>
      </c>
      <c r="D177" t="str">
        <f>TEXT(Table1[[#This Row],[Date]],"mmm")</f>
        <v>Sep</v>
      </c>
      <c r="E177">
        <v>11619</v>
      </c>
      <c r="F177">
        <v>17368</v>
      </c>
      <c r="G177">
        <f>Table1[[#This Row],[Algo]]+Table1[[#This Row],[Manual]]</f>
        <v>28987</v>
      </c>
      <c r="H177">
        <f>H176+Table1[[#This Row],[Total Gross P&amp;L]]</f>
        <v>2965934</v>
      </c>
      <c r="I177">
        <f>WEEKNUM(Table1[[#This Row],[Date]])</f>
        <v>36</v>
      </c>
      <c r="J177">
        <f t="shared" si="6"/>
        <v>3</v>
      </c>
      <c r="K177">
        <f t="shared" si="7"/>
        <v>0</v>
      </c>
    </row>
    <row r="178" spans="1:11" x14ac:dyDescent="0.3">
      <c r="A178">
        <v>177</v>
      </c>
      <c r="B178" s="1">
        <v>45904</v>
      </c>
      <c r="C178" t="s">
        <v>8</v>
      </c>
      <c r="D178" t="str">
        <f>TEXT(Table1[[#This Row],[Date]],"mmm")</f>
        <v>Sep</v>
      </c>
      <c r="E178">
        <v>-2272</v>
      </c>
      <c r="F178">
        <v>7138</v>
      </c>
      <c r="G178">
        <f>Table1[[#This Row],[Algo]]+Table1[[#This Row],[Manual]]</f>
        <v>4866</v>
      </c>
      <c r="H178">
        <f>H177+Table1[[#This Row],[Total Gross P&amp;L]]</f>
        <v>2970800</v>
      </c>
      <c r="I178">
        <f>WEEKNUM(Table1[[#This Row],[Date]])</f>
        <v>36</v>
      </c>
      <c r="J178">
        <f t="shared" si="6"/>
        <v>4</v>
      </c>
      <c r="K178">
        <f t="shared" si="7"/>
        <v>0</v>
      </c>
    </row>
    <row r="179" spans="1:11" x14ac:dyDescent="0.3">
      <c r="A179">
        <v>178</v>
      </c>
      <c r="B179" s="1">
        <v>45905</v>
      </c>
      <c r="C179" t="s">
        <v>9</v>
      </c>
      <c r="D179" t="str">
        <f>TEXT(Table1[[#This Row],[Date]],"mmm")</f>
        <v>Sep</v>
      </c>
      <c r="E179">
        <v>5796</v>
      </c>
      <c r="F179">
        <v>16204</v>
      </c>
      <c r="G179">
        <f>Table1[[#This Row],[Algo]]+Table1[[#This Row],[Manual]]</f>
        <v>22000</v>
      </c>
      <c r="H179">
        <f>H178+Table1[[#This Row],[Total Gross P&amp;L]]</f>
        <v>2992800</v>
      </c>
      <c r="I179">
        <f>WEEKNUM(Table1[[#This Row],[Date]])</f>
        <v>36</v>
      </c>
      <c r="J179">
        <f t="shared" si="6"/>
        <v>5</v>
      </c>
      <c r="K179">
        <f t="shared" si="7"/>
        <v>0</v>
      </c>
    </row>
    <row r="180" spans="1:11" x14ac:dyDescent="0.3">
      <c r="A180">
        <v>179</v>
      </c>
      <c r="B180" s="1">
        <v>45908</v>
      </c>
      <c r="C180" t="s">
        <v>10</v>
      </c>
      <c r="D180" t="str">
        <f>TEXT(Table1[[#This Row],[Date]],"mmm")</f>
        <v>Sep</v>
      </c>
      <c r="E180">
        <v>24095</v>
      </c>
      <c r="F180">
        <v>17790</v>
      </c>
      <c r="G180">
        <f>Table1[[#This Row],[Algo]]+Table1[[#This Row],[Manual]]</f>
        <v>41885</v>
      </c>
      <c r="H180">
        <f>H179+Table1[[#This Row],[Total Gross P&amp;L]]</f>
        <v>3034685</v>
      </c>
      <c r="I180">
        <f>WEEKNUM(Table1[[#This Row],[Date]])</f>
        <v>37</v>
      </c>
      <c r="J180">
        <f t="shared" si="6"/>
        <v>6</v>
      </c>
      <c r="K180">
        <f t="shared" si="7"/>
        <v>0</v>
      </c>
    </row>
    <row r="181" spans="1:11" x14ac:dyDescent="0.3">
      <c r="A181">
        <v>180</v>
      </c>
      <c r="B181" s="1">
        <v>45909</v>
      </c>
      <c r="C181" t="s">
        <v>11</v>
      </c>
      <c r="D181" t="str">
        <f>TEXT(Table1[[#This Row],[Date]],"mmm")</f>
        <v>Sep</v>
      </c>
      <c r="E181">
        <v>25353</v>
      </c>
      <c r="F181">
        <v>14730</v>
      </c>
      <c r="G181">
        <f>Table1[[#This Row],[Algo]]+Table1[[#This Row],[Manual]]</f>
        <v>40083</v>
      </c>
      <c r="H181">
        <f>H180+Table1[[#This Row],[Total Gross P&amp;L]]</f>
        <v>3074768</v>
      </c>
      <c r="I181">
        <f>WEEKNUM(Table1[[#This Row],[Date]])</f>
        <v>37</v>
      </c>
      <c r="J181">
        <f t="shared" si="6"/>
        <v>7</v>
      </c>
      <c r="K181">
        <f t="shared" si="7"/>
        <v>0</v>
      </c>
    </row>
    <row r="182" spans="1:11" x14ac:dyDescent="0.3">
      <c r="A182">
        <v>181</v>
      </c>
      <c r="B182" s="1">
        <v>45910</v>
      </c>
      <c r="C182" t="s">
        <v>7</v>
      </c>
      <c r="D182" t="str">
        <f>TEXT(Table1[[#This Row],[Date]],"mmm")</f>
        <v>Sep</v>
      </c>
      <c r="E182">
        <v>-749</v>
      </c>
      <c r="F182">
        <v>10401</v>
      </c>
      <c r="G182">
        <f>Table1[[#This Row],[Algo]]+Table1[[#This Row],[Manual]]</f>
        <v>9652</v>
      </c>
      <c r="H182">
        <f>H181+Table1[[#This Row],[Total Gross P&amp;L]]</f>
        <v>3084420</v>
      </c>
      <c r="I182">
        <f>WEEKNUM(Table1[[#This Row],[Date]])</f>
        <v>37</v>
      </c>
      <c r="J182">
        <f t="shared" si="6"/>
        <v>8</v>
      </c>
      <c r="K182">
        <f t="shared" si="7"/>
        <v>0</v>
      </c>
    </row>
    <row r="183" spans="1:11" x14ac:dyDescent="0.3">
      <c r="A183">
        <v>182</v>
      </c>
      <c r="B183" s="1">
        <v>45911</v>
      </c>
      <c r="C183" t="s">
        <v>8</v>
      </c>
      <c r="D183" t="str">
        <f>TEXT(Table1[[#This Row],[Date]],"mmm")</f>
        <v>Sep</v>
      </c>
      <c r="E183">
        <v>4989</v>
      </c>
      <c r="F183">
        <v>-18235</v>
      </c>
      <c r="G183">
        <f>Table1[[#This Row],[Algo]]+Table1[[#This Row],[Manual]]</f>
        <v>-13246</v>
      </c>
      <c r="H183">
        <f>H182+Table1[[#This Row],[Total Gross P&amp;L]]</f>
        <v>3071174</v>
      </c>
      <c r="I183">
        <f>WEEKNUM(Table1[[#This Row],[Date]])</f>
        <v>37</v>
      </c>
      <c r="J183">
        <f t="shared" si="6"/>
        <v>0</v>
      </c>
      <c r="K183">
        <f t="shared" si="7"/>
        <v>1</v>
      </c>
    </row>
    <row r="184" spans="1:11" x14ac:dyDescent="0.3">
      <c r="A184">
        <v>183</v>
      </c>
      <c r="B184" s="1">
        <v>45912</v>
      </c>
      <c r="C184" t="s">
        <v>9</v>
      </c>
      <c r="D184" t="str">
        <f>TEXT(Table1[[#This Row],[Date]],"mmm")</f>
        <v>Sep</v>
      </c>
      <c r="E184">
        <v>-88</v>
      </c>
      <c r="F184">
        <v>14903</v>
      </c>
      <c r="G184">
        <f>Table1[[#This Row],[Algo]]+Table1[[#This Row],[Manual]]</f>
        <v>14815</v>
      </c>
      <c r="H184">
        <f>H183+Table1[[#This Row],[Total Gross P&amp;L]]</f>
        <v>3085989</v>
      </c>
      <c r="I184">
        <f>WEEKNUM(Table1[[#This Row],[Date]])</f>
        <v>37</v>
      </c>
      <c r="J184">
        <f t="shared" si="6"/>
        <v>1</v>
      </c>
      <c r="K184">
        <f t="shared" si="7"/>
        <v>0</v>
      </c>
    </row>
    <row r="185" spans="1:11" x14ac:dyDescent="0.3">
      <c r="A185">
        <v>184</v>
      </c>
      <c r="B185" s="1">
        <v>45915</v>
      </c>
      <c r="C185" t="s">
        <v>10</v>
      </c>
      <c r="D185" t="str">
        <f>TEXT(Table1[[#This Row],[Date]],"mmm")</f>
        <v>Sep</v>
      </c>
      <c r="E185">
        <v>9437</v>
      </c>
      <c r="F185">
        <v>8788</v>
      </c>
      <c r="G185">
        <f>Table1[[#This Row],[Algo]]+Table1[[#This Row],[Manual]]</f>
        <v>18225</v>
      </c>
      <c r="H185">
        <f>H184+Table1[[#This Row],[Total Gross P&amp;L]]</f>
        <v>3104214</v>
      </c>
      <c r="I185">
        <f>WEEKNUM(Table1[[#This Row],[Date]])</f>
        <v>38</v>
      </c>
      <c r="J185">
        <f t="shared" si="6"/>
        <v>2</v>
      </c>
      <c r="K185">
        <f t="shared" si="7"/>
        <v>0</v>
      </c>
    </row>
    <row r="186" spans="1:11" x14ac:dyDescent="0.3">
      <c r="A186">
        <v>185</v>
      </c>
      <c r="B186" s="1">
        <v>45916</v>
      </c>
      <c r="C186" t="s">
        <v>11</v>
      </c>
      <c r="D186" t="str">
        <f>TEXT(Table1[[#This Row],[Date]],"mmm")</f>
        <v>Sep</v>
      </c>
      <c r="E186">
        <v>12791</v>
      </c>
      <c r="F186">
        <v>13312</v>
      </c>
      <c r="G186">
        <f>Table1[[#This Row],[Algo]]+Table1[[#This Row],[Manual]]</f>
        <v>26103</v>
      </c>
      <c r="H186">
        <f>H185+Table1[[#This Row],[Total Gross P&amp;L]]</f>
        <v>3130317</v>
      </c>
      <c r="I186">
        <f>WEEKNUM(Table1[[#This Row],[Date]])</f>
        <v>38</v>
      </c>
      <c r="J186">
        <f t="shared" si="6"/>
        <v>3</v>
      </c>
      <c r="K186">
        <f t="shared" si="7"/>
        <v>0</v>
      </c>
    </row>
    <row r="187" spans="1:11" x14ac:dyDescent="0.3">
      <c r="A187">
        <v>186</v>
      </c>
      <c r="B187" s="1">
        <v>45917</v>
      </c>
      <c r="C187" t="s">
        <v>7</v>
      </c>
      <c r="D187" t="str">
        <f>TEXT(Table1[[#This Row],[Date]],"mmm")</f>
        <v>Sep</v>
      </c>
      <c r="E187">
        <v>14899</v>
      </c>
      <c r="F187">
        <v>29719</v>
      </c>
      <c r="G187">
        <f>Table1[[#This Row],[Algo]]+Table1[[#This Row],[Manual]]</f>
        <v>44618</v>
      </c>
      <c r="H187">
        <f>H186+Table1[[#This Row],[Total Gross P&amp;L]]</f>
        <v>3174935</v>
      </c>
      <c r="I187">
        <f>WEEKNUM(Table1[[#This Row],[Date]])</f>
        <v>38</v>
      </c>
      <c r="J187">
        <f t="shared" si="6"/>
        <v>4</v>
      </c>
      <c r="K187">
        <f t="shared" si="7"/>
        <v>0</v>
      </c>
    </row>
    <row r="188" spans="1:11" x14ac:dyDescent="0.3">
      <c r="A188">
        <v>187</v>
      </c>
      <c r="B188" s="1">
        <v>45918</v>
      </c>
      <c r="C188" t="s">
        <v>8</v>
      </c>
      <c r="D188" t="str">
        <f>TEXT(Table1[[#This Row],[Date]],"mmm")</f>
        <v>Sep</v>
      </c>
      <c r="E188">
        <v>16691</v>
      </c>
      <c r="F188">
        <v>-3018</v>
      </c>
      <c r="G188">
        <f>Table1[[#This Row],[Algo]]+Table1[[#This Row],[Manual]]</f>
        <v>13673</v>
      </c>
      <c r="H188">
        <f>H187+Table1[[#This Row],[Total Gross P&amp;L]]</f>
        <v>3188608</v>
      </c>
      <c r="I188">
        <f>WEEKNUM(Table1[[#This Row],[Date]])</f>
        <v>38</v>
      </c>
      <c r="J188">
        <f t="shared" si="6"/>
        <v>5</v>
      </c>
      <c r="K188">
        <f t="shared" si="7"/>
        <v>0</v>
      </c>
    </row>
    <row r="189" spans="1:11" x14ac:dyDescent="0.3">
      <c r="A189">
        <v>188</v>
      </c>
      <c r="B189" s="1">
        <v>45919</v>
      </c>
      <c r="C189" t="s">
        <v>9</v>
      </c>
      <c r="D189" t="str">
        <f>TEXT(Table1[[#This Row],[Date]],"mmm")</f>
        <v>Sep</v>
      </c>
      <c r="E189">
        <v>3497</v>
      </c>
      <c r="F189">
        <v>-11869</v>
      </c>
      <c r="G189">
        <f>Table1[[#This Row],[Algo]]+Table1[[#This Row],[Manual]]</f>
        <v>-8372</v>
      </c>
      <c r="H189">
        <f>H188+Table1[[#This Row],[Total Gross P&amp;L]]</f>
        <v>3180236</v>
      </c>
      <c r="I189">
        <f>WEEKNUM(Table1[[#This Row],[Date]])</f>
        <v>38</v>
      </c>
      <c r="J189">
        <f t="shared" si="6"/>
        <v>0</v>
      </c>
      <c r="K189">
        <f t="shared" si="7"/>
        <v>1</v>
      </c>
    </row>
    <row r="190" spans="1:11" x14ac:dyDescent="0.3">
      <c r="A190">
        <v>189</v>
      </c>
      <c r="B190" s="1">
        <v>45922</v>
      </c>
      <c r="C190" t="s">
        <v>10</v>
      </c>
      <c r="D190" t="str">
        <f>TEXT(Table1[[#This Row],[Date]],"mmm")</f>
        <v>Sep</v>
      </c>
      <c r="E190">
        <v>-9812</v>
      </c>
      <c r="F190">
        <v>-13502</v>
      </c>
      <c r="G190">
        <f>Table1[[#This Row],[Algo]]+Table1[[#This Row],[Manual]]</f>
        <v>-23314</v>
      </c>
      <c r="H190">
        <f>H189+Table1[[#This Row],[Total Gross P&amp;L]]</f>
        <v>3156922</v>
      </c>
      <c r="I190">
        <f>WEEKNUM(Table1[[#This Row],[Date]])</f>
        <v>39</v>
      </c>
      <c r="J190">
        <f t="shared" si="6"/>
        <v>0</v>
      </c>
      <c r="K190">
        <f t="shared" si="7"/>
        <v>2</v>
      </c>
    </row>
    <row r="191" spans="1:11" x14ac:dyDescent="0.3">
      <c r="A191">
        <v>190</v>
      </c>
      <c r="B191" s="1">
        <v>45923</v>
      </c>
      <c r="C191" t="s">
        <v>11</v>
      </c>
      <c r="D191" t="str">
        <f>TEXT(Table1[[#This Row],[Date]],"mmm")</f>
        <v>Sep</v>
      </c>
      <c r="E191">
        <v>9372</v>
      </c>
      <c r="F191">
        <v>13078</v>
      </c>
      <c r="G191">
        <f>Table1[[#This Row],[Algo]]+Table1[[#This Row],[Manual]]</f>
        <v>22450</v>
      </c>
      <c r="H191">
        <f>H190+Table1[[#This Row],[Total Gross P&amp;L]]</f>
        <v>3179372</v>
      </c>
      <c r="I191">
        <f>WEEKNUM(Table1[[#This Row],[Date]])</f>
        <v>39</v>
      </c>
      <c r="J191">
        <f t="shared" si="6"/>
        <v>1</v>
      </c>
      <c r="K191">
        <f t="shared" si="7"/>
        <v>0</v>
      </c>
    </row>
    <row r="192" spans="1:11" x14ac:dyDescent="0.3">
      <c r="A192">
        <v>191</v>
      </c>
      <c r="B192" s="1">
        <v>45924</v>
      </c>
      <c r="C192" t="s">
        <v>7</v>
      </c>
      <c r="D192" t="str">
        <f>TEXT(Table1[[#This Row],[Date]],"mmm")</f>
        <v>Sep</v>
      </c>
      <c r="E192">
        <v>-19002</v>
      </c>
      <c r="F192">
        <v>-4409</v>
      </c>
      <c r="G192">
        <f>Table1[[#This Row],[Algo]]+Table1[[#This Row],[Manual]]</f>
        <v>-23411</v>
      </c>
      <c r="H192">
        <f>H191+Table1[[#This Row],[Total Gross P&amp;L]]</f>
        <v>3155961</v>
      </c>
      <c r="I192">
        <f>WEEKNUM(Table1[[#This Row],[Date]])</f>
        <v>39</v>
      </c>
      <c r="J192">
        <f t="shared" si="6"/>
        <v>0</v>
      </c>
      <c r="K192">
        <f t="shared" si="7"/>
        <v>1</v>
      </c>
    </row>
    <row r="193" spans="1:11" x14ac:dyDescent="0.3">
      <c r="A193">
        <v>192</v>
      </c>
      <c r="B193" s="1">
        <v>45925</v>
      </c>
      <c r="C193" t="s">
        <v>8</v>
      </c>
      <c r="D193" t="str">
        <f>TEXT(Table1[[#This Row],[Date]],"mmm")</f>
        <v>Sep</v>
      </c>
      <c r="E193">
        <v>-6520</v>
      </c>
      <c r="F193">
        <v>-12957</v>
      </c>
      <c r="G193">
        <f>Table1[[#This Row],[Algo]]+Table1[[#This Row],[Manual]]</f>
        <v>-19477</v>
      </c>
      <c r="H193">
        <f>H192+Table1[[#This Row],[Total Gross P&amp;L]]</f>
        <v>3136484</v>
      </c>
      <c r="I193">
        <f>WEEKNUM(Table1[[#This Row],[Date]])</f>
        <v>39</v>
      </c>
      <c r="J193">
        <f t="shared" si="6"/>
        <v>0</v>
      </c>
      <c r="K193">
        <f t="shared" si="7"/>
        <v>2</v>
      </c>
    </row>
    <row r="194" spans="1:11" x14ac:dyDescent="0.3">
      <c r="A194">
        <v>193</v>
      </c>
      <c r="B194" s="1">
        <v>45926</v>
      </c>
      <c r="C194" t="s">
        <v>9</v>
      </c>
      <c r="D194" t="str">
        <f>TEXT(Table1[[#This Row],[Date]],"mmm")</f>
        <v>Sep</v>
      </c>
      <c r="E194">
        <v>-5008</v>
      </c>
      <c r="F194">
        <v>20076</v>
      </c>
      <c r="G194">
        <f>Table1[[#This Row],[Algo]]+Table1[[#This Row],[Manual]]</f>
        <v>15068</v>
      </c>
      <c r="H194">
        <f>H193+Table1[[#This Row],[Total Gross P&amp;L]]</f>
        <v>3151552</v>
      </c>
      <c r="I194">
        <f>WEEKNUM(Table1[[#This Row],[Date]])</f>
        <v>39</v>
      </c>
      <c r="J194">
        <f t="shared" si="6"/>
        <v>1</v>
      </c>
      <c r="K194">
        <f t="shared" si="7"/>
        <v>0</v>
      </c>
    </row>
    <row r="195" spans="1:11" x14ac:dyDescent="0.3">
      <c r="A195">
        <v>194</v>
      </c>
      <c r="B195" s="1">
        <v>45929</v>
      </c>
      <c r="C195" t="s">
        <v>10</v>
      </c>
      <c r="D195" t="str">
        <f>TEXT(Table1[[#This Row],[Date]],"mmm")</f>
        <v>Sep</v>
      </c>
      <c r="E195">
        <v>-10730</v>
      </c>
      <c r="F195">
        <v>-3482</v>
      </c>
      <c r="G195">
        <f>Table1[[#This Row],[Algo]]+Table1[[#This Row],[Manual]]</f>
        <v>-14212</v>
      </c>
      <c r="H195">
        <f>H194+Table1[[#This Row],[Total Gross P&amp;L]]</f>
        <v>3137340</v>
      </c>
      <c r="I195">
        <f>WEEKNUM(Table1[[#This Row],[Date]])</f>
        <v>40</v>
      </c>
      <c r="J195">
        <f t="shared" si="6"/>
        <v>0</v>
      </c>
      <c r="K195">
        <f t="shared" si="7"/>
        <v>1</v>
      </c>
    </row>
    <row r="196" spans="1:11" x14ac:dyDescent="0.3">
      <c r="A196">
        <v>195</v>
      </c>
      <c r="B196" s="1">
        <v>45930</v>
      </c>
      <c r="C196" t="s">
        <v>11</v>
      </c>
      <c r="D196" t="str">
        <f>TEXT(Table1[[#This Row],[Date]],"mmm")</f>
        <v>Sep</v>
      </c>
      <c r="E196">
        <v>-5370</v>
      </c>
      <c r="F196">
        <v>16602</v>
      </c>
      <c r="G196">
        <f>Table1[[#This Row],[Algo]]+Table1[[#This Row],[Manual]]</f>
        <v>11232</v>
      </c>
      <c r="H196">
        <f>H195+Table1[[#This Row],[Total Gross P&amp;L]]</f>
        <v>3148572</v>
      </c>
      <c r="I196">
        <f>WEEKNUM(Table1[[#This Row],[Date]])</f>
        <v>40</v>
      </c>
      <c r="J196">
        <f t="shared" ref="J196:J251" si="8">IF(G196&gt;0,J195+1,0)</f>
        <v>1</v>
      </c>
      <c r="K196">
        <f t="shared" si="7"/>
        <v>0</v>
      </c>
    </row>
    <row r="197" spans="1:11" x14ac:dyDescent="0.3">
      <c r="A197">
        <v>196</v>
      </c>
      <c r="B197" s="1">
        <v>45931</v>
      </c>
      <c r="C197" t="s">
        <v>7</v>
      </c>
      <c r="D197" t="str">
        <f>TEXT(Table1[[#This Row],[Date]],"mmm")</f>
        <v>Oct</v>
      </c>
      <c r="E197">
        <v>-15768</v>
      </c>
      <c r="F197">
        <v>10724</v>
      </c>
      <c r="G197">
        <f>Table1[[#This Row],[Algo]]+Table1[[#This Row],[Manual]]</f>
        <v>-5044</v>
      </c>
      <c r="H197">
        <f>H196+Table1[[#This Row],[Total Gross P&amp;L]]</f>
        <v>3143528</v>
      </c>
      <c r="I197">
        <f>WEEKNUM(Table1[[#This Row],[Date]])</f>
        <v>40</v>
      </c>
      <c r="J197">
        <f t="shared" si="8"/>
        <v>0</v>
      </c>
      <c r="K197">
        <f t="shared" ref="K197:K251" si="9">IF(G197&lt;0,K196+1,0)</f>
        <v>1</v>
      </c>
    </row>
    <row r="198" spans="1:11" x14ac:dyDescent="0.3">
      <c r="A198">
        <v>197</v>
      </c>
      <c r="B198" s="1">
        <v>45932</v>
      </c>
      <c r="C198" t="s">
        <v>8</v>
      </c>
      <c r="D198" t="str">
        <f>TEXT(Table1[[#This Row],[Date]],"mmm")</f>
        <v>Oct</v>
      </c>
      <c r="E198">
        <v>12500</v>
      </c>
      <c r="F198">
        <v>2762</v>
      </c>
      <c r="G198">
        <f>Table1[[#This Row],[Algo]]+Table1[[#This Row],[Manual]]</f>
        <v>15262</v>
      </c>
      <c r="H198">
        <f>H197+Table1[[#This Row],[Total Gross P&amp;L]]</f>
        <v>3158790</v>
      </c>
      <c r="I198">
        <f>WEEKNUM(Table1[[#This Row],[Date]])</f>
        <v>40</v>
      </c>
      <c r="J198">
        <f t="shared" si="8"/>
        <v>1</v>
      </c>
      <c r="K198">
        <f t="shared" si="9"/>
        <v>0</v>
      </c>
    </row>
    <row r="199" spans="1:11" x14ac:dyDescent="0.3">
      <c r="A199">
        <v>198</v>
      </c>
      <c r="B199" s="1">
        <v>45933</v>
      </c>
      <c r="C199" t="s">
        <v>9</v>
      </c>
      <c r="D199" t="str">
        <f>TEXT(Table1[[#This Row],[Date]],"mmm")</f>
        <v>Oct</v>
      </c>
      <c r="E199">
        <v>5382</v>
      </c>
      <c r="F199">
        <v>9889</v>
      </c>
      <c r="G199">
        <f>Table1[[#This Row],[Algo]]+Table1[[#This Row],[Manual]]</f>
        <v>15271</v>
      </c>
      <c r="H199">
        <f>H198+Table1[[#This Row],[Total Gross P&amp;L]]</f>
        <v>3174061</v>
      </c>
      <c r="I199">
        <f>WEEKNUM(Table1[[#This Row],[Date]])</f>
        <v>40</v>
      </c>
      <c r="J199">
        <f t="shared" si="8"/>
        <v>2</v>
      </c>
      <c r="K199">
        <f t="shared" si="9"/>
        <v>0</v>
      </c>
    </row>
    <row r="200" spans="1:11" x14ac:dyDescent="0.3">
      <c r="A200">
        <v>199</v>
      </c>
      <c r="B200" s="1">
        <v>45936</v>
      </c>
      <c r="C200" t="s">
        <v>10</v>
      </c>
      <c r="D200" t="str">
        <f>TEXT(Table1[[#This Row],[Date]],"mmm")</f>
        <v>Oct</v>
      </c>
      <c r="E200">
        <v>32649</v>
      </c>
      <c r="F200">
        <v>27117</v>
      </c>
      <c r="G200">
        <f>Table1[[#This Row],[Algo]]+Table1[[#This Row],[Manual]]</f>
        <v>59766</v>
      </c>
      <c r="H200">
        <f>H199+Table1[[#This Row],[Total Gross P&amp;L]]</f>
        <v>3233827</v>
      </c>
      <c r="I200">
        <f>WEEKNUM(Table1[[#This Row],[Date]])</f>
        <v>41</v>
      </c>
      <c r="J200">
        <f t="shared" si="8"/>
        <v>3</v>
      </c>
      <c r="K200">
        <f t="shared" si="9"/>
        <v>0</v>
      </c>
    </row>
    <row r="201" spans="1:11" x14ac:dyDescent="0.3">
      <c r="A201">
        <v>200</v>
      </c>
      <c r="B201" s="1">
        <v>45937</v>
      </c>
      <c r="C201" t="s">
        <v>11</v>
      </c>
      <c r="D201" t="str">
        <f>TEXT(Table1[[#This Row],[Date]],"mmm")</f>
        <v>Oct</v>
      </c>
      <c r="E201">
        <v>7040</v>
      </c>
      <c r="F201">
        <v>16429</v>
      </c>
      <c r="G201">
        <f>Table1[[#This Row],[Algo]]+Table1[[#This Row],[Manual]]</f>
        <v>23469</v>
      </c>
      <c r="H201">
        <f>H200+Table1[[#This Row],[Total Gross P&amp;L]]</f>
        <v>3257296</v>
      </c>
      <c r="I201">
        <f>WEEKNUM(Table1[[#This Row],[Date]])</f>
        <v>41</v>
      </c>
      <c r="J201">
        <f t="shared" si="8"/>
        <v>4</v>
      </c>
      <c r="K201">
        <f t="shared" si="9"/>
        <v>0</v>
      </c>
    </row>
    <row r="202" spans="1:11" x14ac:dyDescent="0.3">
      <c r="A202">
        <v>201</v>
      </c>
      <c r="B202" s="1">
        <v>45938</v>
      </c>
      <c r="C202" t="s">
        <v>7</v>
      </c>
      <c r="D202" t="str">
        <f>TEXT(Table1[[#This Row],[Date]],"mmm")</f>
        <v>Oct</v>
      </c>
      <c r="E202">
        <v>-14660</v>
      </c>
      <c r="F202">
        <v>1226</v>
      </c>
      <c r="G202">
        <f>Table1[[#This Row],[Algo]]+Table1[[#This Row],[Manual]]</f>
        <v>-13434</v>
      </c>
      <c r="H202">
        <f>H201+Table1[[#This Row],[Total Gross P&amp;L]]</f>
        <v>3243862</v>
      </c>
      <c r="I202">
        <f>WEEKNUM(Table1[[#This Row],[Date]])</f>
        <v>41</v>
      </c>
      <c r="J202">
        <f t="shared" si="8"/>
        <v>0</v>
      </c>
      <c r="K202">
        <f t="shared" si="9"/>
        <v>1</v>
      </c>
    </row>
    <row r="203" spans="1:11" x14ac:dyDescent="0.3">
      <c r="A203">
        <v>202</v>
      </c>
      <c r="B203" s="1">
        <v>45939</v>
      </c>
      <c r="C203" t="s">
        <v>8</v>
      </c>
      <c r="D203" t="str">
        <f>TEXT(Table1[[#This Row],[Date]],"mmm")</f>
        <v>Oct</v>
      </c>
      <c r="E203">
        <v>-9204</v>
      </c>
      <c r="F203">
        <v>-17170</v>
      </c>
      <c r="G203">
        <f>Table1[[#This Row],[Algo]]+Table1[[#This Row],[Manual]]</f>
        <v>-26374</v>
      </c>
      <c r="H203">
        <f>H202+Table1[[#This Row],[Total Gross P&amp;L]]</f>
        <v>3217488</v>
      </c>
      <c r="I203">
        <f>WEEKNUM(Table1[[#This Row],[Date]])</f>
        <v>41</v>
      </c>
      <c r="J203">
        <f t="shared" si="8"/>
        <v>0</v>
      </c>
      <c r="K203">
        <f t="shared" si="9"/>
        <v>2</v>
      </c>
    </row>
    <row r="204" spans="1:11" x14ac:dyDescent="0.3">
      <c r="A204">
        <v>203</v>
      </c>
      <c r="B204" s="1">
        <v>45940</v>
      </c>
      <c r="C204" t="s">
        <v>9</v>
      </c>
      <c r="D204" t="str">
        <f>TEXT(Table1[[#This Row],[Date]],"mmm")</f>
        <v>Oct</v>
      </c>
      <c r="E204">
        <v>8176</v>
      </c>
      <c r="F204">
        <v>-879</v>
      </c>
      <c r="G204">
        <f>Table1[[#This Row],[Algo]]+Table1[[#This Row],[Manual]]</f>
        <v>7297</v>
      </c>
      <c r="H204">
        <f>H203+Table1[[#This Row],[Total Gross P&amp;L]]</f>
        <v>3224785</v>
      </c>
      <c r="I204">
        <f>WEEKNUM(Table1[[#This Row],[Date]])</f>
        <v>41</v>
      </c>
      <c r="J204">
        <f t="shared" si="8"/>
        <v>1</v>
      </c>
      <c r="K204">
        <f t="shared" si="9"/>
        <v>0</v>
      </c>
    </row>
    <row r="205" spans="1:11" x14ac:dyDescent="0.3">
      <c r="A205">
        <v>204</v>
      </c>
      <c r="B205" s="1">
        <v>45943</v>
      </c>
      <c r="C205" t="s">
        <v>10</v>
      </c>
      <c r="D205" t="str">
        <f>TEXT(Table1[[#This Row],[Date]],"mmm")</f>
        <v>Oct</v>
      </c>
      <c r="E205">
        <v>3388</v>
      </c>
      <c r="F205">
        <v>2759</v>
      </c>
      <c r="G205">
        <f>Table1[[#This Row],[Algo]]+Table1[[#This Row],[Manual]]</f>
        <v>6147</v>
      </c>
      <c r="H205">
        <f>H204+Table1[[#This Row],[Total Gross P&amp;L]]</f>
        <v>3230932</v>
      </c>
      <c r="I205">
        <f>WEEKNUM(Table1[[#This Row],[Date]])</f>
        <v>42</v>
      </c>
      <c r="J205">
        <f t="shared" si="8"/>
        <v>2</v>
      </c>
      <c r="K205">
        <f t="shared" si="9"/>
        <v>0</v>
      </c>
    </row>
    <row r="206" spans="1:11" x14ac:dyDescent="0.3">
      <c r="A206">
        <v>205</v>
      </c>
      <c r="B206" s="1">
        <v>45944</v>
      </c>
      <c r="C206" t="s">
        <v>11</v>
      </c>
      <c r="D206" t="str">
        <f>TEXT(Table1[[#This Row],[Date]],"mmm")</f>
        <v>Oct</v>
      </c>
      <c r="E206">
        <v>9345</v>
      </c>
      <c r="F206">
        <v>-8324</v>
      </c>
      <c r="G206">
        <f>Table1[[#This Row],[Algo]]+Table1[[#This Row],[Manual]]</f>
        <v>1021</v>
      </c>
      <c r="H206">
        <f>H205+Table1[[#This Row],[Total Gross P&amp;L]]</f>
        <v>3231953</v>
      </c>
      <c r="I206">
        <f>WEEKNUM(Table1[[#This Row],[Date]])</f>
        <v>42</v>
      </c>
      <c r="J206">
        <f t="shared" si="8"/>
        <v>3</v>
      </c>
      <c r="K206">
        <f t="shared" si="9"/>
        <v>0</v>
      </c>
    </row>
    <row r="207" spans="1:11" x14ac:dyDescent="0.3">
      <c r="A207">
        <v>206</v>
      </c>
      <c r="B207" s="1">
        <v>45945</v>
      </c>
      <c r="C207" t="s">
        <v>7</v>
      </c>
      <c r="D207" t="str">
        <f>TEXT(Table1[[#This Row],[Date]],"mmm")</f>
        <v>Oct</v>
      </c>
      <c r="E207">
        <v>-8893</v>
      </c>
      <c r="F207">
        <v>26223</v>
      </c>
      <c r="G207">
        <f>Table1[[#This Row],[Algo]]+Table1[[#This Row],[Manual]]</f>
        <v>17330</v>
      </c>
      <c r="H207">
        <f>H206+Table1[[#This Row],[Total Gross P&amp;L]]</f>
        <v>3249283</v>
      </c>
      <c r="I207">
        <f>WEEKNUM(Table1[[#This Row],[Date]])</f>
        <v>42</v>
      </c>
      <c r="J207">
        <f t="shared" si="8"/>
        <v>4</v>
      </c>
      <c r="K207">
        <f t="shared" si="9"/>
        <v>0</v>
      </c>
    </row>
    <row r="208" spans="1:11" x14ac:dyDescent="0.3">
      <c r="A208">
        <v>207</v>
      </c>
      <c r="B208" s="1">
        <v>45946</v>
      </c>
      <c r="C208" t="s">
        <v>8</v>
      </c>
      <c r="D208" t="str">
        <f>TEXT(Table1[[#This Row],[Date]],"mmm")</f>
        <v>Oct</v>
      </c>
      <c r="E208">
        <v>-12599</v>
      </c>
      <c r="F208">
        <v>-10000</v>
      </c>
      <c r="G208">
        <f>Table1[[#This Row],[Algo]]+Table1[[#This Row],[Manual]]</f>
        <v>-22599</v>
      </c>
      <c r="H208">
        <f>H207+Table1[[#This Row],[Total Gross P&amp;L]]</f>
        <v>3226684</v>
      </c>
      <c r="I208">
        <f>WEEKNUM(Table1[[#This Row],[Date]])</f>
        <v>42</v>
      </c>
      <c r="J208">
        <f t="shared" si="8"/>
        <v>0</v>
      </c>
      <c r="K208">
        <f t="shared" si="9"/>
        <v>1</v>
      </c>
    </row>
    <row r="209" spans="1:11" x14ac:dyDescent="0.3">
      <c r="A209">
        <v>208</v>
      </c>
      <c r="B209" s="1">
        <v>45947</v>
      </c>
      <c r="C209" t="s">
        <v>9</v>
      </c>
      <c r="D209" t="str">
        <f>TEXT(Table1[[#This Row],[Date]],"mmm")</f>
        <v>Oct</v>
      </c>
      <c r="E209">
        <v>13096</v>
      </c>
      <c r="F209">
        <v>-16409</v>
      </c>
      <c r="G209">
        <f>Table1[[#This Row],[Algo]]+Table1[[#This Row],[Manual]]</f>
        <v>-3313</v>
      </c>
      <c r="H209">
        <f>H208+Table1[[#This Row],[Total Gross P&amp;L]]</f>
        <v>3223371</v>
      </c>
      <c r="I209">
        <f>WEEKNUM(Table1[[#This Row],[Date]])</f>
        <v>42</v>
      </c>
      <c r="J209">
        <f t="shared" si="8"/>
        <v>0</v>
      </c>
      <c r="K209">
        <f t="shared" si="9"/>
        <v>2</v>
      </c>
    </row>
    <row r="210" spans="1:11" x14ac:dyDescent="0.3">
      <c r="A210">
        <v>209</v>
      </c>
      <c r="B210" s="1">
        <v>45950</v>
      </c>
      <c r="C210" t="s">
        <v>10</v>
      </c>
      <c r="D210" t="str">
        <f>TEXT(Table1[[#This Row],[Date]],"mmm")</f>
        <v>Oct</v>
      </c>
      <c r="E210">
        <v>21007</v>
      </c>
      <c r="F210">
        <v>-5404</v>
      </c>
      <c r="G210">
        <f>Table1[[#This Row],[Algo]]+Table1[[#This Row],[Manual]]</f>
        <v>15603</v>
      </c>
      <c r="H210">
        <f>H209+Table1[[#This Row],[Total Gross P&amp;L]]</f>
        <v>3238974</v>
      </c>
      <c r="I210">
        <f>WEEKNUM(Table1[[#This Row],[Date]])</f>
        <v>43</v>
      </c>
      <c r="J210">
        <f t="shared" si="8"/>
        <v>1</v>
      </c>
      <c r="K210">
        <f t="shared" si="9"/>
        <v>0</v>
      </c>
    </row>
    <row r="211" spans="1:11" x14ac:dyDescent="0.3">
      <c r="A211">
        <v>210</v>
      </c>
      <c r="B211" s="1">
        <v>45951</v>
      </c>
      <c r="C211" t="s">
        <v>11</v>
      </c>
      <c r="D211" t="str">
        <f>TEXT(Table1[[#This Row],[Date]],"mmm")</f>
        <v>Oct</v>
      </c>
      <c r="E211">
        <v>-5513</v>
      </c>
      <c r="F211">
        <v>-1722</v>
      </c>
      <c r="G211">
        <f>Table1[[#This Row],[Algo]]+Table1[[#This Row],[Manual]]</f>
        <v>-7235</v>
      </c>
      <c r="H211">
        <f>H210+Table1[[#This Row],[Total Gross P&amp;L]]</f>
        <v>3231739</v>
      </c>
      <c r="I211">
        <f>WEEKNUM(Table1[[#This Row],[Date]])</f>
        <v>43</v>
      </c>
      <c r="J211">
        <f t="shared" si="8"/>
        <v>0</v>
      </c>
      <c r="K211">
        <f t="shared" si="9"/>
        <v>1</v>
      </c>
    </row>
    <row r="212" spans="1:11" x14ac:dyDescent="0.3">
      <c r="A212">
        <v>211</v>
      </c>
      <c r="B212" s="1">
        <v>45952</v>
      </c>
      <c r="C212" t="s">
        <v>7</v>
      </c>
      <c r="D212" t="str">
        <f>TEXT(Table1[[#This Row],[Date]],"mmm")</f>
        <v>Oct</v>
      </c>
      <c r="E212">
        <v>7178</v>
      </c>
      <c r="F212">
        <v>12344</v>
      </c>
      <c r="G212">
        <f>Table1[[#This Row],[Algo]]+Table1[[#This Row],[Manual]]</f>
        <v>19522</v>
      </c>
      <c r="H212">
        <f>H211+Table1[[#This Row],[Total Gross P&amp;L]]</f>
        <v>3251261</v>
      </c>
      <c r="I212">
        <f>WEEKNUM(Table1[[#This Row],[Date]])</f>
        <v>43</v>
      </c>
      <c r="J212">
        <f t="shared" si="8"/>
        <v>1</v>
      </c>
      <c r="K212">
        <f t="shared" si="9"/>
        <v>0</v>
      </c>
    </row>
    <row r="213" spans="1:11" x14ac:dyDescent="0.3">
      <c r="A213">
        <v>212</v>
      </c>
      <c r="B213" s="1">
        <v>45953</v>
      </c>
      <c r="C213" t="s">
        <v>8</v>
      </c>
      <c r="D213" t="str">
        <f>TEXT(Table1[[#This Row],[Date]],"mmm")</f>
        <v>Oct</v>
      </c>
      <c r="E213">
        <v>19183</v>
      </c>
      <c r="F213">
        <v>-7137</v>
      </c>
      <c r="G213">
        <f>Table1[[#This Row],[Algo]]+Table1[[#This Row],[Manual]]</f>
        <v>12046</v>
      </c>
      <c r="H213">
        <f>H212+Table1[[#This Row],[Total Gross P&amp;L]]</f>
        <v>3263307</v>
      </c>
      <c r="I213">
        <f>WEEKNUM(Table1[[#This Row],[Date]])</f>
        <v>43</v>
      </c>
      <c r="J213">
        <f t="shared" si="8"/>
        <v>2</v>
      </c>
      <c r="K213">
        <f t="shared" si="9"/>
        <v>0</v>
      </c>
    </row>
    <row r="214" spans="1:11" x14ac:dyDescent="0.3">
      <c r="A214">
        <v>213</v>
      </c>
      <c r="B214" s="1">
        <v>45954</v>
      </c>
      <c r="C214" t="s">
        <v>9</v>
      </c>
      <c r="D214" t="str">
        <f>TEXT(Table1[[#This Row],[Date]],"mmm")</f>
        <v>Oct</v>
      </c>
      <c r="E214">
        <v>33190</v>
      </c>
      <c r="F214">
        <v>11130</v>
      </c>
      <c r="G214">
        <f>Table1[[#This Row],[Algo]]+Table1[[#This Row],[Manual]]</f>
        <v>44320</v>
      </c>
      <c r="H214">
        <f>H213+Table1[[#This Row],[Total Gross P&amp;L]]</f>
        <v>3307627</v>
      </c>
      <c r="I214">
        <f>WEEKNUM(Table1[[#This Row],[Date]])</f>
        <v>43</v>
      </c>
      <c r="J214">
        <f t="shared" si="8"/>
        <v>3</v>
      </c>
      <c r="K214">
        <f t="shared" si="9"/>
        <v>0</v>
      </c>
    </row>
    <row r="215" spans="1:11" x14ac:dyDescent="0.3">
      <c r="A215">
        <v>214</v>
      </c>
      <c r="B215" s="1">
        <v>45957</v>
      </c>
      <c r="C215" t="s">
        <v>10</v>
      </c>
      <c r="D215" t="str">
        <f>TEXT(Table1[[#This Row],[Date]],"mmm")</f>
        <v>Oct</v>
      </c>
      <c r="E215">
        <v>-14975</v>
      </c>
      <c r="F215">
        <v>-4951</v>
      </c>
      <c r="G215">
        <f>Table1[[#This Row],[Algo]]+Table1[[#This Row],[Manual]]</f>
        <v>-19926</v>
      </c>
      <c r="H215">
        <f>H214+Table1[[#This Row],[Total Gross P&amp;L]]</f>
        <v>3287701</v>
      </c>
      <c r="I215">
        <f>WEEKNUM(Table1[[#This Row],[Date]])</f>
        <v>44</v>
      </c>
      <c r="J215">
        <f t="shared" si="8"/>
        <v>0</v>
      </c>
      <c r="K215">
        <f t="shared" si="9"/>
        <v>1</v>
      </c>
    </row>
    <row r="216" spans="1:11" x14ac:dyDescent="0.3">
      <c r="A216">
        <v>215</v>
      </c>
      <c r="B216" s="1">
        <v>45958</v>
      </c>
      <c r="C216" t="s">
        <v>11</v>
      </c>
      <c r="D216" t="str">
        <f>TEXT(Table1[[#This Row],[Date]],"mmm")</f>
        <v>Oct</v>
      </c>
      <c r="E216">
        <v>19371</v>
      </c>
      <c r="F216">
        <v>12777</v>
      </c>
      <c r="G216">
        <f>Table1[[#This Row],[Algo]]+Table1[[#This Row],[Manual]]</f>
        <v>32148</v>
      </c>
      <c r="H216">
        <f>H215+Table1[[#This Row],[Total Gross P&amp;L]]</f>
        <v>3319849</v>
      </c>
      <c r="I216">
        <f>WEEKNUM(Table1[[#This Row],[Date]])</f>
        <v>44</v>
      </c>
      <c r="J216">
        <f t="shared" si="8"/>
        <v>1</v>
      </c>
      <c r="K216">
        <f t="shared" si="9"/>
        <v>0</v>
      </c>
    </row>
    <row r="217" spans="1:11" x14ac:dyDescent="0.3">
      <c r="A217">
        <v>216</v>
      </c>
      <c r="B217" s="1">
        <v>45959</v>
      </c>
      <c r="C217" t="s">
        <v>7</v>
      </c>
      <c r="D217" t="str">
        <f>TEXT(Table1[[#This Row],[Date]],"mmm")</f>
        <v>Oct</v>
      </c>
      <c r="E217">
        <v>31519</v>
      </c>
      <c r="F217">
        <v>-6152</v>
      </c>
      <c r="G217">
        <f>Table1[[#This Row],[Algo]]+Table1[[#This Row],[Manual]]</f>
        <v>25367</v>
      </c>
      <c r="H217">
        <f>H216+Table1[[#This Row],[Total Gross P&amp;L]]</f>
        <v>3345216</v>
      </c>
      <c r="I217">
        <f>WEEKNUM(Table1[[#This Row],[Date]])</f>
        <v>44</v>
      </c>
      <c r="J217">
        <f t="shared" si="8"/>
        <v>2</v>
      </c>
      <c r="K217">
        <f t="shared" si="9"/>
        <v>0</v>
      </c>
    </row>
    <row r="218" spans="1:11" x14ac:dyDescent="0.3">
      <c r="A218">
        <v>217</v>
      </c>
      <c r="B218" s="1">
        <v>45960</v>
      </c>
      <c r="C218" t="s">
        <v>8</v>
      </c>
      <c r="D218" t="str">
        <f>TEXT(Table1[[#This Row],[Date]],"mmm")</f>
        <v>Oct</v>
      </c>
      <c r="E218">
        <v>33852</v>
      </c>
      <c r="F218">
        <v>-9297</v>
      </c>
      <c r="G218">
        <f>Table1[[#This Row],[Algo]]+Table1[[#This Row],[Manual]]</f>
        <v>24555</v>
      </c>
      <c r="H218">
        <f>H217+Table1[[#This Row],[Total Gross P&amp;L]]</f>
        <v>3369771</v>
      </c>
      <c r="I218">
        <f>WEEKNUM(Table1[[#This Row],[Date]])</f>
        <v>44</v>
      </c>
      <c r="J218">
        <f t="shared" si="8"/>
        <v>3</v>
      </c>
      <c r="K218">
        <f t="shared" si="9"/>
        <v>0</v>
      </c>
    </row>
    <row r="219" spans="1:11" x14ac:dyDescent="0.3">
      <c r="A219">
        <v>218</v>
      </c>
      <c r="B219" s="1">
        <v>45961</v>
      </c>
      <c r="C219" t="s">
        <v>9</v>
      </c>
      <c r="D219" t="str">
        <f>TEXT(Table1[[#This Row],[Date]],"mmm")</f>
        <v>Oct</v>
      </c>
      <c r="E219">
        <v>-10174</v>
      </c>
      <c r="F219">
        <v>6328</v>
      </c>
      <c r="G219">
        <f>Table1[[#This Row],[Algo]]+Table1[[#This Row],[Manual]]</f>
        <v>-3846</v>
      </c>
      <c r="H219">
        <f>H218+Table1[[#This Row],[Total Gross P&amp;L]]</f>
        <v>3365925</v>
      </c>
      <c r="I219">
        <f>WEEKNUM(Table1[[#This Row],[Date]])</f>
        <v>44</v>
      </c>
      <c r="J219">
        <f t="shared" si="8"/>
        <v>0</v>
      </c>
      <c r="K219">
        <f t="shared" si="9"/>
        <v>1</v>
      </c>
    </row>
    <row r="220" spans="1:11" x14ac:dyDescent="0.3">
      <c r="A220">
        <v>219</v>
      </c>
      <c r="B220" s="1">
        <v>45964</v>
      </c>
      <c r="C220" t="s">
        <v>10</v>
      </c>
      <c r="D220" t="str">
        <f>TEXT(Table1[[#This Row],[Date]],"mmm")</f>
        <v>Nov</v>
      </c>
      <c r="E220">
        <v>11319</v>
      </c>
      <c r="F220">
        <v>1608</v>
      </c>
      <c r="G220">
        <f>Table1[[#This Row],[Algo]]+Table1[[#This Row],[Manual]]</f>
        <v>12927</v>
      </c>
      <c r="H220">
        <f>H219+Table1[[#This Row],[Total Gross P&amp;L]]</f>
        <v>3378852</v>
      </c>
      <c r="I220">
        <f>WEEKNUM(Table1[[#This Row],[Date]])</f>
        <v>45</v>
      </c>
      <c r="J220">
        <f t="shared" si="8"/>
        <v>1</v>
      </c>
      <c r="K220">
        <f t="shared" si="9"/>
        <v>0</v>
      </c>
    </row>
    <row r="221" spans="1:11" x14ac:dyDescent="0.3">
      <c r="A221">
        <v>220</v>
      </c>
      <c r="B221" s="1">
        <v>45965</v>
      </c>
      <c r="C221" t="s">
        <v>11</v>
      </c>
      <c r="D221" t="str">
        <f>TEXT(Table1[[#This Row],[Date]],"mmm")</f>
        <v>Nov</v>
      </c>
      <c r="E221">
        <v>12889</v>
      </c>
      <c r="F221">
        <v>27051</v>
      </c>
      <c r="G221">
        <f>Table1[[#This Row],[Algo]]+Table1[[#This Row],[Manual]]</f>
        <v>39940</v>
      </c>
      <c r="H221">
        <f>H220+Table1[[#This Row],[Total Gross P&amp;L]]</f>
        <v>3418792</v>
      </c>
      <c r="I221">
        <f>WEEKNUM(Table1[[#This Row],[Date]])</f>
        <v>45</v>
      </c>
      <c r="J221">
        <f t="shared" si="8"/>
        <v>2</v>
      </c>
      <c r="K221">
        <f t="shared" si="9"/>
        <v>0</v>
      </c>
    </row>
    <row r="222" spans="1:11" x14ac:dyDescent="0.3">
      <c r="A222">
        <v>221</v>
      </c>
      <c r="B222" s="1">
        <v>45966</v>
      </c>
      <c r="C222" t="s">
        <v>7</v>
      </c>
      <c r="D222" t="str">
        <f>TEXT(Table1[[#This Row],[Date]],"mmm")</f>
        <v>Nov</v>
      </c>
      <c r="E222">
        <v>-18908</v>
      </c>
      <c r="F222">
        <v>-14806</v>
      </c>
      <c r="G222">
        <f>Table1[[#This Row],[Algo]]+Table1[[#This Row],[Manual]]</f>
        <v>-33714</v>
      </c>
      <c r="H222">
        <f>H221+Table1[[#This Row],[Total Gross P&amp;L]]</f>
        <v>3385078</v>
      </c>
      <c r="I222">
        <f>WEEKNUM(Table1[[#This Row],[Date]])</f>
        <v>45</v>
      </c>
      <c r="J222">
        <f t="shared" si="8"/>
        <v>0</v>
      </c>
      <c r="K222">
        <f t="shared" si="9"/>
        <v>1</v>
      </c>
    </row>
    <row r="223" spans="1:11" x14ac:dyDescent="0.3">
      <c r="A223">
        <v>222</v>
      </c>
      <c r="B223" s="1">
        <v>45967</v>
      </c>
      <c r="C223" t="s">
        <v>8</v>
      </c>
      <c r="D223" t="str">
        <f>TEXT(Table1[[#This Row],[Date]],"mmm")</f>
        <v>Nov</v>
      </c>
      <c r="E223">
        <v>2477</v>
      </c>
      <c r="F223">
        <v>9387</v>
      </c>
      <c r="G223">
        <f>Table1[[#This Row],[Algo]]+Table1[[#This Row],[Manual]]</f>
        <v>11864</v>
      </c>
      <c r="H223">
        <f>H222+Table1[[#This Row],[Total Gross P&amp;L]]</f>
        <v>3396942</v>
      </c>
      <c r="I223">
        <f>WEEKNUM(Table1[[#This Row],[Date]])</f>
        <v>45</v>
      </c>
      <c r="J223">
        <f t="shared" si="8"/>
        <v>1</v>
      </c>
      <c r="K223">
        <f t="shared" si="9"/>
        <v>0</v>
      </c>
    </row>
    <row r="224" spans="1:11" x14ac:dyDescent="0.3">
      <c r="A224">
        <v>223</v>
      </c>
      <c r="B224" s="1">
        <v>45968</v>
      </c>
      <c r="C224" t="s">
        <v>9</v>
      </c>
      <c r="D224" t="str">
        <f>TEXT(Table1[[#This Row],[Date]],"mmm")</f>
        <v>Nov</v>
      </c>
      <c r="E224">
        <v>-4928</v>
      </c>
      <c r="F224">
        <v>-887</v>
      </c>
      <c r="G224">
        <f>Table1[[#This Row],[Algo]]+Table1[[#This Row],[Manual]]</f>
        <v>-5815</v>
      </c>
      <c r="H224">
        <f>H223+Table1[[#This Row],[Total Gross P&amp;L]]</f>
        <v>3391127</v>
      </c>
      <c r="I224">
        <f>WEEKNUM(Table1[[#This Row],[Date]])</f>
        <v>45</v>
      </c>
      <c r="J224">
        <f t="shared" si="8"/>
        <v>0</v>
      </c>
      <c r="K224">
        <f t="shared" si="9"/>
        <v>1</v>
      </c>
    </row>
    <row r="225" spans="1:11" x14ac:dyDescent="0.3">
      <c r="A225">
        <v>224</v>
      </c>
      <c r="B225" s="1">
        <v>45971</v>
      </c>
      <c r="C225" t="s">
        <v>10</v>
      </c>
      <c r="D225" t="str">
        <f>TEXT(Table1[[#This Row],[Date]],"mmm")</f>
        <v>Nov</v>
      </c>
      <c r="E225">
        <v>-18599</v>
      </c>
      <c r="F225">
        <v>8718</v>
      </c>
      <c r="G225">
        <f>Table1[[#This Row],[Algo]]+Table1[[#This Row],[Manual]]</f>
        <v>-9881</v>
      </c>
      <c r="H225">
        <f>H224+Table1[[#This Row],[Total Gross P&amp;L]]</f>
        <v>3381246</v>
      </c>
      <c r="I225">
        <f>WEEKNUM(Table1[[#This Row],[Date]])</f>
        <v>46</v>
      </c>
      <c r="J225">
        <f t="shared" si="8"/>
        <v>0</v>
      </c>
      <c r="K225">
        <f t="shared" si="9"/>
        <v>2</v>
      </c>
    </row>
    <row r="226" spans="1:11" x14ac:dyDescent="0.3">
      <c r="A226">
        <v>225</v>
      </c>
      <c r="B226" s="1">
        <v>45972</v>
      </c>
      <c r="C226" t="s">
        <v>11</v>
      </c>
      <c r="D226" t="str">
        <f>TEXT(Table1[[#This Row],[Date]],"mmm")</f>
        <v>Nov</v>
      </c>
      <c r="E226">
        <v>10650</v>
      </c>
      <c r="F226">
        <v>18625</v>
      </c>
      <c r="G226">
        <f>Table1[[#This Row],[Algo]]+Table1[[#This Row],[Manual]]</f>
        <v>29275</v>
      </c>
      <c r="H226">
        <f>H225+Table1[[#This Row],[Total Gross P&amp;L]]</f>
        <v>3410521</v>
      </c>
      <c r="I226">
        <f>WEEKNUM(Table1[[#This Row],[Date]])</f>
        <v>46</v>
      </c>
      <c r="J226">
        <f t="shared" si="8"/>
        <v>1</v>
      </c>
      <c r="K226">
        <f t="shared" si="9"/>
        <v>0</v>
      </c>
    </row>
    <row r="227" spans="1:11" x14ac:dyDescent="0.3">
      <c r="A227">
        <v>226</v>
      </c>
      <c r="B227" s="1">
        <v>45973</v>
      </c>
      <c r="C227" t="s">
        <v>7</v>
      </c>
      <c r="D227" t="str">
        <f>TEXT(Table1[[#This Row],[Date]],"mmm")</f>
        <v>Nov</v>
      </c>
      <c r="E227">
        <v>-12738</v>
      </c>
      <c r="F227">
        <v>14875</v>
      </c>
      <c r="G227">
        <f>Table1[[#This Row],[Algo]]+Table1[[#This Row],[Manual]]</f>
        <v>2137</v>
      </c>
      <c r="H227">
        <f>H226+Table1[[#This Row],[Total Gross P&amp;L]]</f>
        <v>3412658</v>
      </c>
      <c r="I227">
        <f>WEEKNUM(Table1[[#This Row],[Date]])</f>
        <v>46</v>
      </c>
      <c r="J227">
        <f t="shared" si="8"/>
        <v>2</v>
      </c>
      <c r="K227">
        <f t="shared" si="9"/>
        <v>0</v>
      </c>
    </row>
    <row r="228" spans="1:11" x14ac:dyDescent="0.3">
      <c r="A228">
        <v>227</v>
      </c>
      <c r="B228" s="1">
        <v>45974</v>
      </c>
      <c r="C228" t="s">
        <v>8</v>
      </c>
      <c r="D228" t="str">
        <f>TEXT(Table1[[#This Row],[Date]],"mmm")</f>
        <v>Nov</v>
      </c>
      <c r="E228">
        <v>4497</v>
      </c>
      <c r="F228">
        <v>6612</v>
      </c>
      <c r="G228">
        <f>Table1[[#This Row],[Algo]]+Table1[[#This Row],[Manual]]</f>
        <v>11109</v>
      </c>
      <c r="H228">
        <f>H227+Table1[[#This Row],[Total Gross P&amp;L]]</f>
        <v>3423767</v>
      </c>
      <c r="I228">
        <f>WEEKNUM(Table1[[#This Row],[Date]])</f>
        <v>46</v>
      </c>
      <c r="J228">
        <f t="shared" si="8"/>
        <v>3</v>
      </c>
      <c r="K228">
        <f t="shared" si="9"/>
        <v>0</v>
      </c>
    </row>
    <row r="229" spans="1:11" x14ac:dyDescent="0.3">
      <c r="A229">
        <v>228</v>
      </c>
      <c r="B229" s="1">
        <v>45975</v>
      </c>
      <c r="C229" t="s">
        <v>9</v>
      </c>
      <c r="D229" t="str">
        <f>TEXT(Table1[[#This Row],[Date]],"mmm")</f>
        <v>Nov</v>
      </c>
      <c r="E229">
        <v>28074</v>
      </c>
      <c r="F229">
        <v>18483</v>
      </c>
      <c r="G229">
        <f>Table1[[#This Row],[Algo]]+Table1[[#This Row],[Manual]]</f>
        <v>46557</v>
      </c>
      <c r="H229">
        <f>H228+Table1[[#This Row],[Total Gross P&amp;L]]</f>
        <v>3470324</v>
      </c>
      <c r="I229">
        <f>WEEKNUM(Table1[[#This Row],[Date]])</f>
        <v>46</v>
      </c>
      <c r="J229">
        <f t="shared" si="8"/>
        <v>4</v>
      </c>
      <c r="K229">
        <f t="shared" si="9"/>
        <v>0</v>
      </c>
    </row>
    <row r="230" spans="1:11" x14ac:dyDescent="0.3">
      <c r="A230">
        <v>229</v>
      </c>
      <c r="B230" s="1">
        <v>45978</v>
      </c>
      <c r="C230" t="s">
        <v>10</v>
      </c>
      <c r="D230" t="str">
        <f>TEXT(Table1[[#This Row],[Date]],"mmm")</f>
        <v>Nov</v>
      </c>
      <c r="E230">
        <v>8844</v>
      </c>
      <c r="F230">
        <v>-5310</v>
      </c>
      <c r="G230">
        <f>Table1[[#This Row],[Algo]]+Table1[[#This Row],[Manual]]</f>
        <v>3534</v>
      </c>
      <c r="H230">
        <f>H229+Table1[[#This Row],[Total Gross P&amp;L]]</f>
        <v>3473858</v>
      </c>
      <c r="I230">
        <f>WEEKNUM(Table1[[#This Row],[Date]])</f>
        <v>47</v>
      </c>
      <c r="J230">
        <f t="shared" si="8"/>
        <v>5</v>
      </c>
      <c r="K230">
        <f t="shared" si="9"/>
        <v>0</v>
      </c>
    </row>
    <row r="231" spans="1:11" x14ac:dyDescent="0.3">
      <c r="A231">
        <v>230</v>
      </c>
      <c r="B231" s="1">
        <v>45979</v>
      </c>
      <c r="C231" t="s">
        <v>11</v>
      </c>
      <c r="D231" t="str">
        <f>TEXT(Table1[[#This Row],[Date]],"mmm")</f>
        <v>Nov</v>
      </c>
      <c r="E231">
        <v>9815</v>
      </c>
      <c r="F231">
        <v>20266</v>
      </c>
      <c r="G231">
        <f>Table1[[#This Row],[Algo]]+Table1[[#This Row],[Manual]]</f>
        <v>30081</v>
      </c>
      <c r="H231">
        <f>H230+Table1[[#This Row],[Total Gross P&amp;L]]</f>
        <v>3503939</v>
      </c>
      <c r="I231">
        <f>WEEKNUM(Table1[[#This Row],[Date]])</f>
        <v>47</v>
      </c>
      <c r="J231">
        <f t="shared" si="8"/>
        <v>6</v>
      </c>
      <c r="K231">
        <f t="shared" si="9"/>
        <v>0</v>
      </c>
    </row>
    <row r="232" spans="1:11" x14ac:dyDescent="0.3">
      <c r="A232">
        <v>231</v>
      </c>
      <c r="B232" s="1">
        <v>45980</v>
      </c>
      <c r="C232" t="s">
        <v>7</v>
      </c>
      <c r="D232" t="str">
        <f>TEXT(Table1[[#This Row],[Date]],"mmm")</f>
        <v>Nov</v>
      </c>
      <c r="E232">
        <v>10635</v>
      </c>
      <c r="F232">
        <v>11223</v>
      </c>
      <c r="G232">
        <f>Table1[[#This Row],[Algo]]+Table1[[#This Row],[Manual]]</f>
        <v>21858</v>
      </c>
      <c r="H232">
        <f>H231+Table1[[#This Row],[Total Gross P&amp;L]]</f>
        <v>3525797</v>
      </c>
      <c r="I232">
        <f>WEEKNUM(Table1[[#This Row],[Date]])</f>
        <v>47</v>
      </c>
      <c r="J232">
        <f t="shared" si="8"/>
        <v>7</v>
      </c>
      <c r="K232">
        <f t="shared" si="9"/>
        <v>0</v>
      </c>
    </row>
    <row r="233" spans="1:11" x14ac:dyDescent="0.3">
      <c r="A233">
        <v>232</v>
      </c>
      <c r="B233" s="1">
        <v>45981</v>
      </c>
      <c r="C233" t="s">
        <v>8</v>
      </c>
      <c r="D233" t="str">
        <f>TEXT(Table1[[#This Row],[Date]],"mmm")</f>
        <v>Nov</v>
      </c>
      <c r="E233">
        <v>27360</v>
      </c>
      <c r="F233">
        <v>21416</v>
      </c>
      <c r="G233">
        <f>Table1[[#This Row],[Algo]]+Table1[[#This Row],[Manual]]</f>
        <v>48776</v>
      </c>
      <c r="H233">
        <f>H232+Table1[[#This Row],[Total Gross P&amp;L]]</f>
        <v>3574573</v>
      </c>
      <c r="I233">
        <f>WEEKNUM(Table1[[#This Row],[Date]])</f>
        <v>47</v>
      </c>
      <c r="J233">
        <f t="shared" si="8"/>
        <v>8</v>
      </c>
      <c r="K233">
        <f t="shared" si="9"/>
        <v>0</v>
      </c>
    </row>
    <row r="234" spans="1:11" x14ac:dyDescent="0.3">
      <c r="A234">
        <v>233</v>
      </c>
      <c r="B234" s="1">
        <v>45982</v>
      </c>
      <c r="C234" t="s">
        <v>9</v>
      </c>
      <c r="D234" t="str">
        <f>TEXT(Table1[[#This Row],[Date]],"mmm")</f>
        <v>Nov</v>
      </c>
      <c r="E234">
        <v>486</v>
      </c>
      <c r="F234">
        <v>22149</v>
      </c>
      <c r="G234">
        <f>Table1[[#This Row],[Algo]]+Table1[[#This Row],[Manual]]</f>
        <v>22635</v>
      </c>
      <c r="H234">
        <f>H233+Table1[[#This Row],[Total Gross P&amp;L]]</f>
        <v>3597208</v>
      </c>
      <c r="I234">
        <f>WEEKNUM(Table1[[#This Row],[Date]])</f>
        <v>47</v>
      </c>
      <c r="J234">
        <f t="shared" si="8"/>
        <v>9</v>
      </c>
      <c r="K234">
        <f t="shared" si="9"/>
        <v>0</v>
      </c>
    </row>
    <row r="235" spans="1:11" x14ac:dyDescent="0.3">
      <c r="A235">
        <v>234</v>
      </c>
      <c r="B235" s="1">
        <v>45985</v>
      </c>
      <c r="C235" t="s">
        <v>10</v>
      </c>
      <c r="D235" t="str">
        <f>TEXT(Table1[[#This Row],[Date]],"mmm")</f>
        <v>Nov</v>
      </c>
      <c r="E235">
        <v>13509</v>
      </c>
      <c r="F235">
        <v>32930</v>
      </c>
      <c r="G235">
        <f>Table1[[#This Row],[Algo]]+Table1[[#This Row],[Manual]]</f>
        <v>46439</v>
      </c>
      <c r="H235">
        <f>H234+Table1[[#This Row],[Total Gross P&amp;L]]</f>
        <v>3643647</v>
      </c>
      <c r="I235">
        <f>WEEKNUM(Table1[[#This Row],[Date]])</f>
        <v>48</v>
      </c>
      <c r="J235">
        <f t="shared" si="8"/>
        <v>10</v>
      </c>
      <c r="K235">
        <f t="shared" si="9"/>
        <v>0</v>
      </c>
    </row>
    <row r="236" spans="1:11" x14ac:dyDescent="0.3">
      <c r="A236">
        <v>235</v>
      </c>
      <c r="B236" s="1">
        <v>45986</v>
      </c>
      <c r="C236" t="s">
        <v>11</v>
      </c>
      <c r="D236" t="str">
        <f>TEXT(Table1[[#This Row],[Date]],"mmm")</f>
        <v>Nov</v>
      </c>
      <c r="E236">
        <v>-501</v>
      </c>
      <c r="F236">
        <v>-19731</v>
      </c>
      <c r="G236">
        <f>Table1[[#This Row],[Algo]]+Table1[[#This Row],[Manual]]</f>
        <v>-20232</v>
      </c>
      <c r="H236">
        <f>H235+Table1[[#This Row],[Total Gross P&amp;L]]</f>
        <v>3623415</v>
      </c>
      <c r="I236">
        <f>WEEKNUM(Table1[[#This Row],[Date]])</f>
        <v>48</v>
      </c>
      <c r="J236">
        <f t="shared" si="8"/>
        <v>0</v>
      </c>
      <c r="K236">
        <f t="shared" si="9"/>
        <v>1</v>
      </c>
    </row>
    <row r="237" spans="1:11" x14ac:dyDescent="0.3">
      <c r="A237">
        <v>236</v>
      </c>
      <c r="B237" s="1">
        <v>45987</v>
      </c>
      <c r="C237" t="s">
        <v>7</v>
      </c>
      <c r="D237" t="str">
        <f>TEXT(Table1[[#This Row],[Date]],"mmm")</f>
        <v>Nov</v>
      </c>
      <c r="E237">
        <v>-12724</v>
      </c>
      <c r="F237">
        <v>3585</v>
      </c>
      <c r="G237">
        <f>Table1[[#This Row],[Algo]]+Table1[[#This Row],[Manual]]</f>
        <v>-9139</v>
      </c>
      <c r="H237">
        <f>H236+Table1[[#This Row],[Total Gross P&amp;L]]</f>
        <v>3614276</v>
      </c>
      <c r="I237">
        <f>WEEKNUM(Table1[[#This Row],[Date]])</f>
        <v>48</v>
      </c>
      <c r="J237">
        <f t="shared" si="8"/>
        <v>0</v>
      </c>
      <c r="K237">
        <f t="shared" si="9"/>
        <v>2</v>
      </c>
    </row>
    <row r="238" spans="1:11" x14ac:dyDescent="0.3">
      <c r="A238">
        <v>237</v>
      </c>
      <c r="B238" s="1">
        <v>45988</v>
      </c>
      <c r="C238" t="s">
        <v>8</v>
      </c>
      <c r="D238" t="str">
        <f>TEXT(Table1[[#This Row],[Date]],"mmm")</f>
        <v>Nov</v>
      </c>
      <c r="E238">
        <v>-12048</v>
      </c>
      <c r="F238">
        <v>26746</v>
      </c>
      <c r="G238">
        <f>Table1[[#This Row],[Algo]]+Table1[[#This Row],[Manual]]</f>
        <v>14698</v>
      </c>
      <c r="H238">
        <f>H237+Table1[[#This Row],[Total Gross P&amp;L]]</f>
        <v>3628974</v>
      </c>
      <c r="I238">
        <f>WEEKNUM(Table1[[#This Row],[Date]])</f>
        <v>48</v>
      </c>
      <c r="J238">
        <f t="shared" si="8"/>
        <v>1</v>
      </c>
      <c r="K238">
        <f t="shared" si="9"/>
        <v>0</v>
      </c>
    </row>
    <row r="239" spans="1:11" x14ac:dyDescent="0.3">
      <c r="A239">
        <v>238</v>
      </c>
      <c r="B239" s="1">
        <v>45989</v>
      </c>
      <c r="C239" t="s">
        <v>9</v>
      </c>
      <c r="D239" t="str">
        <f>TEXT(Table1[[#This Row],[Date]],"mmm")</f>
        <v>Nov</v>
      </c>
      <c r="E239">
        <v>-12793</v>
      </c>
      <c r="F239">
        <v>15224</v>
      </c>
      <c r="G239">
        <f>Table1[[#This Row],[Algo]]+Table1[[#This Row],[Manual]]</f>
        <v>2431</v>
      </c>
      <c r="H239">
        <f>H238+Table1[[#This Row],[Total Gross P&amp;L]]</f>
        <v>3631405</v>
      </c>
      <c r="I239">
        <f>WEEKNUM(Table1[[#This Row],[Date]])</f>
        <v>48</v>
      </c>
      <c r="J239">
        <f t="shared" si="8"/>
        <v>2</v>
      </c>
      <c r="K239">
        <f t="shared" si="9"/>
        <v>0</v>
      </c>
    </row>
    <row r="240" spans="1:11" x14ac:dyDescent="0.3">
      <c r="A240">
        <v>239</v>
      </c>
      <c r="B240" s="1">
        <v>45992</v>
      </c>
      <c r="C240" t="s">
        <v>10</v>
      </c>
      <c r="D240" t="str">
        <f>TEXT(Table1[[#This Row],[Date]],"mmm")</f>
        <v>Dec</v>
      </c>
      <c r="E240">
        <v>22799</v>
      </c>
      <c r="F240">
        <v>23733</v>
      </c>
      <c r="G240">
        <f>Table1[[#This Row],[Algo]]+Table1[[#This Row],[Manual]]</f>
        <v>46532</v>
      </c>
      <c r="H240">
        <f>H239+Table1[[#This Row],[Total Gross P&amp;L]]</f>
        <v>3677937</v>
      </c>
      <c r="I240">
        <f>WEEKNUM(Table1[[#This Row],[Date]])</f>
        <v>49</v>
      </c>
      <c r="J240">
        <f t="shared" si="8"/>
        <v>3</v>
      </c>
      <c r="K240">
        <f t="shared" si="9"/>
        <v>0</v>
      </c>
    </row>
    <row r="241" spans="1:11" x14ac:dyDescent="0.3">
      <c r="A241">
        <v>240</v>
      </c>
      <c r="B241" s="1">
        <v>45993</v>
      </c>
      <c r="C241" t="s">
        <v>11</v>
      </c>
      <c r="D241" t="str">
        <f>TEXT(Table1[[#This Row],[Date]],"mmm")</f>
        <v>Dec</v>
      </c>
      <c r="E241">
        <v>-6805</v>
      </c>
      <c r="F241">
        <v>11169</v>
      </c>
      <c r="G241">
        <f>Table1[[#This Row],[Algo]]+Table1[[#This Row],[Manual]]</f>
        <v>4364</v>
      </c>
      <c r="H241">
        <f>H240+Table1[[#This Row],[Total Gross P&amp;L]]</f>
        <v>3682301</v>
      </c>
      <c r="I241">
        <f>WEEKNUM(Table1[[#This Row],[Date]])</f>
        <v>49</v>
      </c>
      <c r="J241">
        <f t="shared" si="8"/>
        <v>4</v>
      </c>
      <c r="K241">
        <f t="shared" si="9"/>
        <v>0</v>
      </c>
    </row>
    <row r="242" spans="1:11" x14ac:dyDescent="0.3">
      <c r="A242">
        <v>241</v>
      </c>
      <c r="B242" s="1">
        <v>45994</v>
      </c>
      <c r="C242" t="s">
        <v>7</v>
      </c>
      <c r="D242" t="str">
        <f>TEXT(Table1[[#This Row],[Date]],"mmm")</f>
        <v>Dec</v>
      </c>
      <c r="E242">
        <v>2905</v>
      </c>
      <c r="F242">
        <v>12603</v>
      </c>
      <c r="G242">
        <f>Table1[[#This Row],[Algo]]+Table1[[#This Row],[Manual]]</f>
        <v>15508</v>
      </c>
      <c r="H242">
        <f>H241+Table1[[#This Row],[Total Gross P&amp;L]]</f>
        <v>3697809</v>
      </c>
      <c r="I242">
        <f>WEEKNUM(Table1[[#This Row],[Date]])</f>
        <v>49</v>
      </c>
      <c r="J242">
        <f t="shared" si="8"/>
        <v>5</v>
      </c>
      <c r="K242">
        <f t="shared" si="9"/>
        <v>0</v>
      </c>
    </row>
    <row r="243" spans="1:11" x14ac:dyDescent="0.3">
      <c r="A243">
        <v>242</v>
      </c>
      <c r="B243" s="1">
        <v>45995</v>
      </c>
      <c r="C243" t="s">
        <v>8</v>
      </c>
      <c r="D243" t="str">
        <f>TEXT(Table1[[#This Row],[Date]],"mmm")</f>
        <v>Dec</v>
      </c>
      <c r="E243">
        <v>-7118</v>
      </c>
      <c r="F243">
        <v>-13591</v>
      </c>
      <c r="G243">
        <f>Table1[[#This Row],[Algo]]+Table1[[#This Row],[Manual]]</f>
        <v>-20709</v>
      </c>
      <c r="H243">
        <f>H242+Table1[[#This Row],[Total Gross P&amp;L]]</f>
        <v>3677100</v>
      </c>
      <c r="I243">
        <f>WEEKNUM(Table1[[#This Row],[Date]])</f>
        <v>49</v>
      </c>
      <c r="J243">
        <f t="shared" si="8"/>
        <v>0</v>
      </c>
      <c r="K243">
        <f t="shared" si="9"/>
        <v>1</v>
      </c>
    </row>
    <row r="244" spans="1:11" x14ac:dyDescent="0.3">
      <c r="A244">
        <v>243</v>
      </c>
      <c r="B244" s="1">
        <v>45996</v>
      </c>
      <c r="C244" t="s">
        <v>9</v>
      </c>
      <c r="D244" t="str">
        <f>TEXT(Table1[[#This Row],[Date]],"mmm")</f>
        <v>Dec</v>
      </c>
      <c r="E244">
        <v>4242</v>
      </c>
      <c r="F244">
        <v>33165</v>
      </c>
      <c r="G244">
        <f>Table1[[#This Row],[Algo]]+Table1[[#This Row],[Manual]]</f>
        <v>37407</v>
      </c>
      <c r="H244">
        <f>H243+Table1[[#This Row],[Total Gross P&amp;L]]</f>
        <v>3714507</v>
      </c>
      <c r="I244">
        <f>WEEKNUM(Table1[[#This Row],[Date]])</f>
        <v>49</v>
      </c>
      <c r="J244">
        <f t="shared" si="8"/>
        <v>1</v>
      </c>
      <c r="K244">
        <f t="shared" si="9"/>
        <v>0</v>
      </c>
    </row>
    <row r="245" spans="1:11" x14ac:dyDescent="0.3">
      <c r="A245">
        <v>244</v>
      </c>
      <c r="B245" s="1">
        <v>45999</v>
      </c>
      <c r="C245" t="s">
        <v>10</v>
      </c>
      <c r="D245" t="str">
        <f>TEXT(Table1[[#This Row],[Date]],"mmm")</f>
        <v>Dec</v>
      </c>
      <c r="E245">
        <v>9059</v>
      </c>
      <c r="F245">
        <v>11092</v>
      </c>
      <c r="G245">
        <f>Table1[[#This Row],[Algo]]+Table1[[#This Row],[Manual]]</f>
        <v>20151</v>
      </c>
      <c r="H245">
        <f>H244+Table1[[#This Row],[Total Gross P&amp;L]]</f>
        <v>3734658</v>
      </c>
      <c r="I245">
        <f>WEEKNUM(Table1[[#This Row],[Date]])</f>
        <v>50</v>
      </c>
      <c r="J245">
        <f t="shared" si="8"/>
        <v>2</v>
      </c>
      <c r="K245">
        <f t="shared" si="9"/>
        <v>0</v>
      </c>
    </row>
    <row r="246" spans="1:11" x14ac:dyDescent="0.3">
      <c r="A246">
        <v>245</v>
      </c>
      <c r="B246" s="1">
        <v>46000</v>
      </c>
      <c r="C246" t="s">
        <v>11</v>
      </c>
      <c r="D246" t="str">
        <f>TEXT(Table1[[#This Row],[Date]],"mmm")</f>
        <v>Dec</v>
      </c>
      <c r="E246">
        <v>18397</v>
      </c>
      <c r="F246">
        <v>13314</v>
      </c>
      <c r="G246">
        <f>Table1[[#This Row],[Algo]]+Table1[[#This Row],[Manual]]</f>
        <v>31711</v>
      </c>
      <c r="H246">
        <f>H245+Table1[[#This Row],[Total Gross P&amp;L]]</f>
        <v>3766369</v>
      </c>
      <c r="I246">
        <f>WEEKNUM(Table1[[#This Row],[Date]])</f>
        <v>50</v>
      </c>
      <c r="J246">
        <f t="shared" si="8"/>
        <v>3</v>
      </c>
      <c r="K246">
        <f t="shared" si="9"/>
        <v>0</v>
      </c>
    </row>
    <row r="247" spans="1:11" x14ac:dyDescent="0.3">
      <c r="A247">
        <v>246</v>
      </c>
      <c r="B247" s="1">
        <v>46001</v>
      </c>
      <c r="C247" t="s">
        <v>7</v>
      </c>
      <c r="D247" t="str">
        <f>TEXT(Table1[[#This Row],[Date]],"mmm")</f>
        <v>Dec</v>
      </c>
      <c r="E247">
        <v>13936</v>
      </c>
      <c r="F247">
        <v>-16859</v>
      </c>
      <c r="G247">
        <f>Table1[[#This Row],[Algo]]+Table1[[#This Row],[Manual]]</f>
        <v>-2923</v>
      </c>
      <c r="H247">
        <f>H246+Table1[[#This Row],[Total Gross P&amp;L]]</f>
        <v>3763446</v>
      </c>
      <c r="I247">
        <f>WEEKNUM(Table1[[#This Row],[Date]])</f>
        <v>50</v>
      </c>
      <c r="J247">
        <f t="shared" si="8"/>
        <v>0</v>
      </c>
      <c r="K247">
        <f t="shared" si="9"/>
        <v>1</v>
      </c>
    </row>
    <row r="248" spans="1:11" x14ac:dyDescent="0.3">
      <c r="A248">
        <v>247</v>
      </c>
      <c r="B248" s="1">
        <v>46002</v>
      </c>
      <c r="C248" t="s">
        <v>8</v>
      </c>
      <c r="D248" t="str">
        <f>TEXT(Table1[[#This Row],[Date]],"mmm")</f>
        <v>Dec</v>
      </c>
      <c r="E248">
        <v>9136</v>
      </c>
      <c r="F248">
        <v>20752</v>
      </c>
      <c r="G248">
        <f>Table1[[#This Row],[Algo]]+Table1[[#This Row],[Manual]]</f>
        <v>29888</v>
      </c>
      <c r="H248">
        <f>H247+Table1[[#This Row],[Total Gross P&amp;L]]</f>
        <v>3793334</v>
      </c>
      <c r="I248">
        <f>WEEKNUM(Table1[[#This Row],[Date]])</f>
        <v>50</v>
      </c>
      <c r="J248">
        <f t="shared" si="8"/>
        <v>1</v>
      </c>
      <c r="K248">
        <f t="shared" si="9"/>
        <v>0</v>
      </c>
    </row>
    <row r="249" spans="1:11" x14ac:dyDescent="0.3">
      <c r="A249">
        <v>248</v>
      </c>
      <c r="B249" s="1">
        <v>46003</v>
      </c>
      <c r="C249" t="s">
        <v>9</v>
      </c>
      <c r="D249" t="str">
        <f>TEXT(Table1[[#This Row],[Date]],"mmm")</f>
        <v>Dec</v>
      </c>
      <c r="E249">
        <v>-18444</v>
      </c>
      <c r="F249">
        <v>6873</v>
      </c>
      <c r="G249">
        <f>Table1[[#This Row],[Algo]]+Table1[[#This Row],[Manual]]</f>
        <v>-11571</v>
      </c>
      <c r="H249">
        <f>H248+Table1[[#This Row],[Total Gross P&amp;L]]</f>
        <v>3781763</v>
      </c>
      <c r="I249">
        <f>WEEKNUM(Table1[[#This Row],[Date]])</f>
        <v>50</v>
      </c>
      <c r="J249">
        <f t="shared" si="8"/>
        <v>0</v>
      </c>
      <c r="K249">
        <f t="shared" si="9"/>
        <v>1</v>
      </c>
    </row>
    <row r="250" spans="1:11" x14ac:dyDescent="0.3">
      <c r="A250">
        <v>249</v>
      </c>
      <c r="B250" s="1">
        <v>46006</v>
      </c>
      <c r="C250" t="s">
        <v>10</v>
      </c>
      <c r="D250" t="str">
        <f>TEXT(Table1[[#This Row],[Date]],"mmm")</f>
        <v>Dec</v>
      </c>
      <c r="E250">
        <v>-14057</v>
      </c>
      <c r="F250">
        <v>5809</v>
      </c>
      <c r="G250">
        <f>Table1[[#This Row],[Algo]]+Table1[[#This Row],[Manual]]</f>
        <v>-8248</v>
      </c>
      <c r="H250">
        <f>H249+Table1[[#This Row],[Total Gross P&amp;L]]</f>
        <v>3773515</v>
      </c>
      <c r="I250">
        <f>WEEKNUM(Table1[[#This Row],[Date]])</f>
        <v>51</v>
      </c>
      <c r="J250">
        <f t="shared" si="8"/>
        <v>0</v>
      </c>
      <c r="K250">
        <f t="shared" si="9"/>
        <v>2</v>
      </c>
    </row>
    <row r="251" spans="1:11" x14ac:dyDescent="0.3">
      <c r="A251">
        <v>250</v>
      </c>
      <c r="B251" s="1">
        <v>46007</v>
      </c>
      <c r="C251" t="s">
        <v>11</v>
      </c>
      <c r="D251" t="str">
        <f>TEXT(Table1[[#This Row],[Date]],"mmm")</f>
        <v>Dec</v>
      </c>
      <c r="E251">
        <v>-10437</v>
      </c>
      <c r="F251">
        <v>33677</v>
      </c>
      <c r="G251">
        <f>Table1[[#This Row],[Algo]]+Table1[[#This Row],[Manual]]</f>
        <v>23240</v>
      </c>
      <c r="H251">
        <f>H250+Table1[[#This Row],[Total Gross P&amp;L]]</f>
        <v>3796755</v>
      </c>
      <c r="I251">
        <f>WEEKNUM(Table1[[#This Row],[Date]])</f>
        <v>51</v>
      </c>
      <c r="J251">
        <f t="shared" si="8"/>
        <v>1</v>
      </c>
      <c r="K251">
        <f t="shared" si="9"/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6CF771-866D-4CB2-97D7-8CDA82E89F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Sheet3</vt:lpstr>
      <vt:lpstr>Pivots</vt:lpstr>
      <vt:lpstr>Sheet7</vt:lpstr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</dc:creator>
  <cp:lastModifiedBy>Ajinkya Babar</cp:lastModifiedBy>
  <dcterms:created xsi:type="dcterms:W3CDTF">2025-03-23T12:30:32Z</dcterms:created>
  <dcterms:modified xsi:type="dcterms:W3CDTF">2025-12-06T12:50:17Z</dcterms:modified>
</cp:coreProperties>
</file>